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0" yWindow="0" windowWidth="15570" windowHeight="7155" activeTab="3"/>
  </bookViews>
  <sheets>
    <sheet name="Breakfast menu " sheetId="1" r:id="rId1"/>
    <sheet name="lunch " sheetId="2" r:id="rId2"/>
    <sheet name="dinner " sheetId="3" r:id="rId3"/>
    <sheet name="DETAILS" sheetId="4" r:id="rId4"/>
  </sheets>
  <definedNames>
    <definedName name="_xlnm.Print_Area" localSheetId="3">DETAILS!$A$1:$M$54</definedName>
  </definedNames>
  <calcPr calcId="162913"/>
</workbook>
</file>

<file path=xl/calcChain.xml><?xml version="1.0" encoding="utf-8"?>
<calcChain xmlns="http://schemas.openxmlformats.org/spreadsheetml/2006/main">
  <c r="M54" i="4" l="1"/>
  <c r="M56" i="4" s="1"/>
  <c r="D7" i="4" l="1"/>
  <c r="D6" i="4"/>
  <c r="D5" i="4"/>
</calcChain>
</file>

<file path=xl/sharedStrings.xml><?xml version="1.0" encoding="utf-8"?>
<sst xmlns="http://schemas.openxmlformats.org/spreadsheetml/2006/main" count="281" uniqueCount="193">
  <si>
    <t>Baked Beans</t>
  </si>
  <si>
    <t>Day 1</t>
  </si>
  <si>
    <t>Day 2</t>
  </si>
  <si>
    <t>Day 3</t>
  </si>
  <si>
    <t xml:space="preserve">Cafeteria menu </t>
  </si>
  <si>
    <t xml:space="preserve">Main Course </t>
  </si>
  <si>
    <t xml:space="preserve">Soup </t>
  </si>
  <si>
    <t xml:space="preserve">Bread </t>
  </si>
  <si>
    <t xml:space="preserve">Salad Bar </t>
  </si>
  <si>
    <t xml:space="preserve">Asian </t>
  </si>
  <si>
    <t xml:space="preserve">Arabic </t>
  </si>
  <si>
    <t xml:space="preserve">Rice </t>
  </si>
  <si>
    <t xml:space="preserve">Dall Fried </t>
  </si>
  <si>
    <t xml:space="preserve">Dall Palak </t>
  </si>
  <si>
    <t xml:space="preserve">Cafeteria Menu </t>
  </si>
  <si>
    <t xml:space="preserve">Tea And Coffee </t>
  </si>
  <si>
    <t xml:space="preserve">Tea And Coffee ,Milk, Sugar </t>
  </si>
  <si>
    <t xml:space="preserve">Tea And Coffee ,Milk ,Sugar </t>
  </si>
  <si>
    <t xml:space="preserve">Tea And Coffee,Milk,Sugar </t>
  </si>
  <si>
    <t xml:space="preserve">Juice And Water </t>
  </si>
  <si>
    <t xml:space="preserve">Packet Juice Or Powder Juice </t>
  </si>
  <si>
    <t xml:space="preserve">Cold Salad Bar </t>
  </si>
  <si>
    <t xml:space="preserve">Bread And Butter </t>
  </si>
  <si>
    <t xml:space="preserve">Slice Bread Brown And White, Arabic Bread Slice Cheddar Cheese ,Butter Jam </t>
  </si>
  <si>
    <t>Slice Bread Brown And White, Arabic Bread ,Butter Jam Slice Cheddar Cheese</t>
  </si>
  <si>
    <t>Boiled Eggs</t>
  </si>
  <si>
    <t>Chana Masala</t>
  </si>
  <si>
    <t>Aloo Bhaji</t>
  </si>
  <si>
    <t>Rajma Masala</t>
  </si>
  <si>
    <t>Chapatti Bread</t>
  </si>
  <si>
    <t>Plain Paratha</t>
  </si>
  <si>
    <t>Egg Fried Rice</t>
  </si>
  <si>
    <t>Coconut Milk Rice /Onion Sambal</t>
  </si>
  <si>
    <t>Congee Rice With Boiled Egg</t>
  </si>
  <si>
    <t>Foul Medames</t>
  </si>
  <si>
    <t xml:space="preserve">Soup Of The Day </t>
  </si>
  <si>
    <t xml:space="preserve">Indian </t>
  </si>
  <si>
    <t xml:space="preserve">Yellow Dall </t>
  </si>
  <si>
    <t>Dall Makhani</t>
  </si>
  <si>
    <t xml:space="preserve">Yellow Dall Tadka </t>
  </si>
  <si>
    <t xml:space="preserve">Western </t>
  </si>
  <si>
    <t xml:space="preserve">White Rice </t>
  </si>
  <si>
    <t xml:space="preserve">Jasmine Rice </t>
  </si>
  <si>
    <t xml:space="preserve">Vegetable Biryani </t>
  </si>
  <si>
    <t xml:space="preserve">Yoghurt Curry Malabar Style </t>
  </si>
  <si>
    <t xml:space="preserve">Vegetable Kabsha Rice </t>
  </si>
  <si>
    <t xml:space="preserve">Baked Pasta With Mushroom And Veg </t>
  </si>
  <si>
    <t xml:space="preserve">Fried Cajun Potato </t>
  </si>
  <si>
    <t>Panacita Philipino style</t>
  </si>
  <si>
    <t>Egg Frittata</t>
  </si>
  <si>
    <t>Eggs Burjee</t>
  </si>
  <si>
    <t xml:space="preserve">Lettuce, Tomato, Cucumber, Onion, plain Yoghurt, humus </t>
  </si>
  <si>
    <t>Lettuce, Tomato, Cucumber, Onion, plain Yoghurt, moutabel</t>
  </si>
  <si>
    <t>Lettuce, Tomato, Cucumber, Onion, plain Yoghurt, labneh</t>
  </si>
  <si>
    <t xml:space="preserve">Arabic Bread, Chapatti </t>
  </si>
  <si>
    <t xml:space="preserve">Slice Cucumber, Fresh Romaine  Lettuce, Potato Chat, grated Carrot, Tomato Wedges, Lemon Wedges, Fresh Green Chili And Plain Yoghurt </t>
  </si>
  <si>
    <t xml:space="preserve">Slice Cucumber, Fresh Romaine  Lettuce, chana Chat, grated Carrot, Tomato Wedges, Lemon Wedges, Fresh Green Chili And Plain Yoghurt </t>
  </si>
  <si>
    <t xml:space="preserve">Slice Cucumber, Fresh Romaine  Lettuce, fruit Chat, hummus, grated Carrot, Tomato Wedges, Lemon Wedges, Fresh Green Chili And Plain Yoghurt </t>
  </si>
  <si>
    <r>
      <t xml:space="preserve">Chicken Molokhia </t>
    </r>
    <r>
      <rPr>
        <sz val="11"/>
        <color rgb="FFFF0000"/>
        <rFont val="Calibri"/>
        <family val="2"/>
        <scheme val="minor"/>
      </rPr>
      <t>10 kg</t>
    </r>
  </si>
  <si>
    <r>
      <t xml:space="preserve">Chicken Kadai </t>
    </r>
    <r>
      <rPr>
        <sz val="11"/>
        <color rgb="FFFF0000"/>
        <rFont val="Calibri"/>
        <family val="2"/>
        <scheme val="minor"/>
      </rPr>
      <t xml:space="preserve">30 kg </t>
    </r>
  </si>
  <si>
    <r>
      <t xml:space="preserve">Butter Chicken </t>
    </r>
    <r>
      <rPr>
        <sz val="11"/>
        <color rgb="FFFF0000"/>
        <rFont val="Calibri"/>
        <family val="2"/>
        <scheme val="minor"/>
      </rPr>
      <t>30 kg</t>
    </r>
    <r>
      <rPr>
        <sz val="11"/>
        <color rgb="FF000000"/>
        <rFont val="Calibri"/>
        <family val="2"/>
        <scheme val="minor"/>
      </rPr>
      <t xml:space="preserve"> </t>
    </r>
  </si>
  <si>
    <r>
      <t xml:space="preserve">Arabic Style Lamb Stew  </t>
    </r>
    <r>
      <rPr>
        <sz val="11"/>
        <color rgb="FFFF0000"/>
        <rFont val="Calibri"/>
        <family val="2"/>
        <scheme val="minor"/>
      </rPr>
      <t xml:space="preserve">8 kg </t>
    </r>
  </si>
  <si>
    <r>
      <t xml:space="preserve">Fried fish With spicy Tomato Sauce </t>
    </r>
    <r>
      <rPr>
        <sz val="11"/>
        <color rgb="FFFF0000"/>
        <rFont val="Calibri"/>
        <family val="2"/>
        <scheme val="minor"/>
      </rPr>
      <t>20kg</t>
    </r>
    <r>
      <rPr>
        <sz val="11"/>
        <color rgb="FF000000"/>
        <rFont val="Calibri"/>
        <family val="2"/>
        <scheme val="minor"/>
      </rPr>
      <t xml:space="preserve">  </t>
    </r>
  </si>
  <si>
    <r>
      <t xml:space="preserve">Mutton Curry </t>
    </r>
    <r>
      <rPr>
        <sz val="11"/>
        <color rgb="FFFF0000"/>
        <rFont val="Calibri"/>
        <family val="2"/>
        <scheme val="minor"/>
      </rPr>
      <t xml:space="preserve">30 kg </t>
    </r>
  </si>
  <si>
    <r>
      <t xml:space="preserve">Fish Harrah </t>
    </r>
    <r>
      <rPr>
        <sz val="11"/>
        <color rgb="FFFF0000"/>
        <rFont val="Calibri"/>
        <family val="2"/>
        <scheme val="minor"/>
      </rPr>
      <t>20 kg</t>
    </r>
  </si>
  <si>
    <r>
      <t xml:space="preserve">Chicken Adobo </t>
    </r>
    <r>
      <rPr>
        <sz val="11"/>
        <color rgb="FFFF0000"/>
        <rFont val="Calibri"/>
        <family val="2"/>
        <scheme val="minor"/>
      </rPr>
      <t>10 kg</t>
    </r>
  </si>
  <si>
    <r>
      <t xml:space="preserve">Meat Ball With Tomato Sauce  </t>
    </r>
    <r>
      <rPr>
        <sz val="11"/>
        <color rgb="FFFF0000"/>
        <rFont val="Calibri"/>
        <family val="2"/>
        <scheme val="minor"/>
      </rPr>
      <t>8 kg</t>
    </r>
  </si>
  <si>
    <r>
      <t xml:space="preserve">Chicken Biryani </t>
    </r>
    <r>
      <rPr>
        <sz val="11"/>
        <color rgb="FFFF0000"/>
        <rFont val="Calibri"/>
        <family val="2"/>
        <scheme val="minor"/>
      </rPr>
      <t>25 KG</t>
    </r>
  </si>
  <si>
    <r>
      <t xml:space="preserve">Mutton Bone Tagine </t>
    </r>
    <r>
      <rPr>
        <sz val="11"/>
        <color rgb="FFFF0000"/>
        <rFont val="Calibri"/>
        <family val="2"/>
        <scheme val="minor"/>
      </rPr>
      <t xml:space="preserve">10 Kg </t>
    </r>
    <r>
      <rPr>
        <sz val="11"/>
        <color rgb="FF000000"/>
        <rFont val="Calibri"/>
        <family val="2"/>
        <scheme val="minor"/>
      </rPr>
      <t xml:space="preserve"> </t>
    </r>
  </si>
  <si>
    <t xml:space="preserve">Pasta With white Sauce </t>
  </si>
  <si>
    <t xml:space="preserve">Pasta With tomato Sauce </t>
  </si>
  <si>
    <r>
      <t xml:space="preserve">Turkey Sausage </t>
    </r>
    <r>
      <rPr>
        <sz val="11"/>
        <color rgb="FFFF0000"/>
        <rFont val="Calibri"/>
        <family val="2"/>
        <scheme val="minor"/>
      </rPr>
      <t>6kg</t>
    </r>
  </si>
  <si>
    <r>
      <t xml:space="preserve">Beef Sausage </t>
    </r>
    <r>
      <rPr>
        <sz val="11"/>
        <color rgb="FFFF0000"/>
        <rFont val="Calibri"/>
        <family val="2"/>
        <scheme val="minor"/>
      </rPr>
      <t>6 kg</t>
    </r>
  </si>
  <si>
    <r>
      <t xml:space="preserve">Chicken Sausage </t>
    </r>
    <r>
      <rPr>
        <sz val="11"/>
        <color rgb="FFFF0000"/>
        <rFont val="Calibri"/>
        <family val="2"/>
        <scheme val="minor"/>
      </rPr>
      <t>6kg</t>
    </r>
  </si>
  <si>
    <t>MOVENPICK GRAND AL BUSTAN STAFF CAFETERIA LUNCH MENU 2021</t>
  </si>
  <si>
    <t>MOVENPICK GRAND AL BUSTAN STAFF  DINNER CAFETERIA MENU 2021</t>
  </si>
  <si>
    <t>MOVENPICK GRAND AL BUSTAN STAFF CAFETERIA BREAKFAST MENU 2021</t>
  </si>
  <si>
    <t xml:space="preserve">jasmine rice </t>
  </si>
  <si>
    <t xml:space="preserve"> Wok fried  sausage with vegetable </t>
  </si>
  <si>
    <t xml:space="preserve">Egg fried rice </t>
  </si>
  <si>
    <t>Noodels with Vegetable</t>
  </si>
  <si>
    <t xml:space="preserve">Roasted Potato Haraha </t>
  </si>
  <si>
    <t xml:space="preserve">Mashed Potato /Grilled Vegetable </t>
  </si>
  <si>
    <t>Roasted Potato with Cajun (HoT)</t>
  </si>
  <si>
    <t xml:space="preserve">Eggplant Mussaka </t>
  </si>
  <si>
    <t xml:space="preserve">Vermicili Rice </t>
  </si>
  <si>
    <t>Vegetable Pulao</t>
  </si>
  <si>
    <r>
      <t xml:space="preserve">Thai red curry fish  </t>
    </r>
    <r>
      <rPr>
        <sz val="11"/>
        <color rgb="FFFF0000"/>
        <rFont val="Calibri"/>
        <family val="2"/>
        <scheme val="minor"/>
      </rPr>
      <t xml:space="preserve">20 kg </t>
    </r>
  </si>
  <si>
    <t>AVERAGE COVER PER DAY</t>
  </si>
  <si>
    <t>BUSTAN</t>
  </si>
  <si>
    <t>ACCOMODATION</t>
  </si>
  <si>
    <t>BREAKFAST</t>
  </si>
  <si>
    <t>LUNCH</t>
  </si>
  <si>
    <t>DINNER</t>
  </si>
  <si>
    <t>NIGHT MEAL</t>
  </si>
  <si>
    <t>TIME FOR BUSTAN</t>
  </si>
  <si>
    <t>PICK UP FOR ACCOMODATION</t>
  </si>
  <si>
    <t>6 to 9</t>
  </si>
  <si>
    <t>11:30 to 2.30</t>
  </si>
  <si>
    <t>5.30 to 8.30</t>
  </si>
  <si>
    <t>6.30 to 9</t>
  </si>
  <si>
    <t>12:00 to 2.30</t>
  </si>
  <si>
    <t>5.10am</t>
  </si>
  <si>
    <t>11.10am</t>
  </si>
  <si>
    <t>4.45pm</t>
  </si>
  <si>
    <t>1.30 to 3.30</t>
  </si>
  <si>
    <t>DAY 1</t>
  </si>
  <si>
    <t>DAY 2</t>
  </si>
  <si>
    <t>DAY 3</t>
  </si>
  <si>
    <t>WHOLE CHICKEN</t>
  </si>
  <si>
    <t>LAMB CUBE</t>
  </si>
  <si>
    <t>DORY FISH</t>
  </si>
  <si>
    <t>BEEF TOPSIDE</t>
  </si>
  <si>
    <t>AED 680</t>
  </si>
  <si>
    <t>40 KG</t>
  </si>
  <si>
    <t>8 KG</t>
  </si>
  <si>
    <t>EXPENSES BUTCHERY</t>
  </si>
  <si>
    <t>30 KG</t>
  </si>
  <si>
    <t>20 KG</t>
  </si>
  <si>
    <t>50 KG</t>
  </si>
  <si>
    <t>12 KG</t>
  </si>
  <si>
    <t>AED 780</t>
  </si>
  <si>
    <t>AED 890</t>
  </si>
  <si>
    <t>INGREDIENTS LIST</t>
  </si>
  <si>
    <t>QUANTITY</t>
  </si>
  <si>
    <t>PRICE</t>
  </si>
  <si>
    <t>TOTAL</t>
  </si>
  <si>
    <t>SUBTOTAL</t>
  </si>
  <si>
    <t xml:space="preserve">Unite </t>
  </si>
  <si>
    <t>Lettuce Local</t>
  </si>
  <si>
    <t>Lentil Red</t>
  </si>
  <si>
    <t>Spring Onion</t>
  </si>
  <si>
    <t xml:space="preserve"> Staff Cafeteria Menu </t>
  </si>
  <si>
    <t>Tomato Big Lebanese</t>
  </si>
  <si>
    <t>KG</t>
  </si>
  <si>
    <t>Cucumber Large Local</t>
  </si>
  <si>
    <t>Onion Red Peeled - India</t>
  </si>
  <si>
    <t>Yogurt Fresh</t>
  </si>
  <si>
    <t>Chick Peas</t>
  </si>
  <si>
    <t>Bread Arabic Brown 10cm</t>
  </si>
  <si>
    <t>PIECE</t>
  </si>
  <si>
    <t>Bread Fully Baked Sliced Frozen (31sliced)</t>
  </si>
  <si>
    <t>Butter Portion Lurpak(Pkt=100 Pcs)</t>
  </si>
  <si>
    <t>PACKET 100 PIECE</t>
  </si>
  <si>
    <t>Egg Fresh 360 pcs</t>
  </si>
  <si>
    <t>BOX</t>
  </si>
  <si>
    <t>Chapati Fresh (1*4 Pcs)</t>
  </si>
  <si>
    <t>PACKET</t>
  </si>
  <si>
    <t>Chicken Breakfast Sausage Frozen</t>
  </si>
  <si>
    <t>Foul Medammes 400g</t>
  </si>
  <si>
    <t>Tin 400 g</t>
  </si>
  <si>
    <t>Carrot Local</t>
  </si>
  <si>
    <t>Chilli Green</t>
  </si>
  <si>
    <t>Lemon Local Africa</t>
  </si>
  <si>
    <t>Chicken Whole Frozen</t>
  </si>
  <si>
    <t>Mutton Cubes Frozen</t>
  </si>
  <si>
    <t>Potato Big</t>
  </si>
  <si>
    <t>Fish Cream Dory Fillet Frozen (10 kg Box</t>
  </si>
  <si>
    <t>Tomato Peeled 2.5kg</t>
  </si>
  <si>
    <t>TIN</t>
  </si>
  <si>
    <t>Jasmine Rice Fragrant (Staff Meal)</t>
  </si>
  <si>
    <t>Bag 40 kg</t>
  </si>
  <si>
    <t>Corriander Leaves Fresh</t>
  </si>
  <si>
    <t>Pasta Penne 500grm</t>
  </si>
  <si>
    <t>Oil Frying Solution 17.5 ltr.</t>
  </si>
  <si>
    <t>Tin 17.5 Liter</t>
  </si>
  <si>
    <t>Capsicum Local</t>
  </si>
  <si>
    <t>Capsicum Red Holland</t>
  </si>
  <si>
    <t>Ginger China/Indonesia</t>
  </si>
  <si>
    <t>Cabbage Red Local/Iran</t>
  </si>
  <si>
    <t>Beetroot Iran/India Fresh</t>
  </si>
  <si>
    <t>Egg Noodles Dry (Staff)</t>
  </si>
  <si>
    <t>BOX 10 PACKET</t>
  </si>
  <si>
    <t>Slice Bread 31 Pces</t>
  </si>
  <si>
    <t xml:space="preserve"> Total-PRICE</t>
  </si>
  <si>
    <t>Salt Lemon</t>
  </si>
  <si>
    <t>Corn Oil 1.8 Ltr</t>
  </si>
  <si>
    <t>BOTTLE</t>
  </si>
  <si>
    <t>Cashewnut Roasted</t>
  </si>
  <si>
    <t>Powder Pepper White</t>
  </si>
  <si>
    <t>Powder Cumin</t>
  </si>
  <si>
    <t>Powder Coriander</t>
  </si>
  <si>
    <t>Powder Chilly</t>
  </si>
  <si>
    <t>Olive Oil Virgin 10 Ltrs Lebanon</t>
  </si>
  <si>
    <t>ml</t>
  </si>
  <si>
    <t xml:space="preserve">Beef Topside </t>
  </si>
  <si>
    <t xml:space="preserve">sugar </t>
  </si>
  <si>
    <t xml:space="preserve">jelly </t>
  </si>
  <si>
    <t xml:space="preserve">Milk Powder </t>
  </si>
  <si>
    <t xml:space="preserve"> Milk Full cream</t>
  </si>
  <si>
    <t>Puff pastry</t>
  </si>
  <si>
    <t>pkt</t>
  </si>
  <si>
    <t>Rose Water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</si>
</sst>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9">
    <font>
      <sz val="11"/>
      <color theme="1"/>
      <name val="Calibri"/>
      <family val="2"/>
      <scheme val="minor"/>
    </font>
    <font>
      <sz val="9"/>
      <color theme="1"/>
      <name val="Arial"/>
      <family val="2"/>
    </font>
    <font>
      <b/>
      <sz val="11"/>
      <color theme="1"/>
      <name val="Cinzel Decorative"/>
    </font>
    <font>
      <sz val="10"/>
      <name val="Arial"/>
      <family val="2"/>
    </font>
    <font>
      <b/>
      <i/>
      <sz val="10"/>
      <color theme="1"/>
      <name val="Cambria"/>
      <family val="1"/>
    </font>
    <font>
      <b/>
      <sz val="10"/>
      <color theme="1"/>
      <name val="Cinzel Decorative"/>
    </font>
    <font>
      <sz val="11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b/>
      <sz val="10"/>
      <color rgb="FF000000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10"/>
      <color rgb="FF555555"/>
      <name val="Arial"/>
      <family val="2"/>
    </font>
    <font>
      <sz val="10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rgb="FFF7964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CF8E3"/>
        <bgColor indexed="64"/>
      </patternFill>
    </fill>
  </fills>
  <borders count="4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rgb="FF000000"/>
      </top>
      <bottom/>
      <diagonal/>
    </border>
    <border>
      <left style="medium">
        <color indexed="64"/>
      </left>
      <right/>
      <top style="medium">
        <color rgb="FF000000"/>
      </top>
      <bottom style="medium">
        <color indexed="64"/>
      </bottom>
      <diagonal/>
    </border>
    <border>
      <left/>
      <right/>
      <top style="medium">
        <color rgb="FF000000"/>
      </top>
      <bottom style="medium">
        <color indexed="64"/>
      </bottom>
      <diagonal/>
    </border>
    <border>
      <left/>
      <right style="medium">
        <color rgb="FF000000"/>
      </right>
      <top style="medium">
        <color rgb="FF000000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rgb="FFDDDDDD"/>
      </right>
      <top/>
      <bottom style="medium">
        <color rgb="FFDDDDDD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0" fontId="3" fillId="0" borderId="0"/>
  </cellStyleXfs>
  <cellXfs count="94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2" fillId="0" borderId="2" xfId="0" applyFont="1" applyFill="1" applyBorder="1" applyAlignment="1">
      <alignment vertical="center"/>
    </xf>
    <xf numFmtId="0" fontId="2" fillId="0" borderId="3" xfId="0" applyFont="1" applyFill="1" applyBorder="1" applyAlignment="1">
      <alignment vertical="center"/>
    </xf>
    <xf numFmtId="0" fontId="0" fillId="0" borderId="1" xfId="0" applyBorder="1"/>
    <xf numFmtId="0" fontId="4" fillId="2" borderId="1" xfId="0" applyFont="1" applyFill="1" applyBorder="1" applyAlignment="1">
      <alignment vertical="center"/>
    </xf>
    <xf numFmtId="0" fontId="4" fillId="2" borderId="1" xfId="0" applyFont="1" applyFill="1" applyBorder="1" applyAlignment="1">
      <alignment horizontal="center" vertical="center"/>
    </xf>
    <xf numFmtId="0" fontId="0" fillId="0" borderId="0" xfId="0" applyAlignment="1">
      <alignment vertical="center" wrapText="1"/>
    </xf>
    <xf numFmtId="0" fontId="6" fillId="0" borderId="4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8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8" fillId="2" borderId="7" xfId="0" applyFont="1" applyFill="1" applyBorder="1" applyAlignment="1">
      <alignment horizontal="center" vertical="center"/>
    </xf>
    <xf numFmtId="0" fontId="0" fillId="0" borderId="5" xfId="0" applyFont="1" applyBorder="1" applyAlignment="1">
      <alignment horizontal="center" vertical="center"/>
    </xf>
    <xf numFmtId="0" fontId="8" fillId="2" borderId="4" xfId="0" applyFont="1" applyFill="1" applyBorder="1" applyAlignment="1">
      <alignment horizontal="center" vertical="center"/>
    </xf>
    <xf numFmtId="0" fontId="0" fillId="0" borderId="11" xfId="0" applyFont="1" applyBorder="1" applyAlignment="1">
      <alignment horizontal="center" vertical="center"/>
    </xf>
    <xf numFmtId="0" fontId="0" fillId="0" borderId="11" xfId="0" applyFont="1" applyBorder="1" applyAlignment="1">
      <alignment horizontal="center" vertical="center" wrapText="1"/>
    </xf>
    <xf numFmtId="0" fontId="9" fillId="2" borderId="1" xfId="0" applyFont="1" applyFill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11" xfId="0" applyFont="1" applyBorder="1" applyAlignment="1">
      <alignment horizontal="center" vertical="center"/>
    </xf>
    <xf numFmtId="0" fontId="7" fillId="0" borderId="11" xfId="0" applyFont="1" applyBorder="1" applyAlignment="1">
      <alignment horizontal="center" vertical="center"/>
    </xf>
    <xf numFmtId="0" fontId="6" fillId="0" borderId="11" xfId="0" applyFont="1" applyFill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6" fillId="0" borderId="8" xfId="0" applyFont="1" applyBorder="1" applyAlignment="1">
      <alignment horizontal="center" vertical="center"/>
    </xf>
    <xf numFmtId="0" fontId="13" fillId="0" borderId="0" xfId="0" applyFont="1"/>
    <xf numFmtId="0" fontId="0" fillId="0" borderId="20" xfId="0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0" fillId="0" borderId="23" xfId="0" applyBorder="1" applyAlignment="1">
      <alignment horizontal="center" vertical="center"/>
    </xf>
    <xf numFmtId="0" fontId="0" fillId="0" borderId="0" xfId="0" applyAlignment="1">
      <alignment horizontal="center"/>
    </xf>
    <xf numFmtId="0" fontId="13" fillId="0" borderId="0" xfId="0" applyFont="1" applyAlignment="1">
      <alignment horizontal="left" vertical="center"/>
    </xf>
    <xf numFmtId="0" fontId="0" fillId="0" borderId="0" xfId="0" applyAlignment="1">
      <alignment horizontal="center" vertical="center" wrapText="1"/>
    </xf>
    <xf numFmtId="0" fontId="0" fillId="4" borderId="21" xfId="0" applyFill="1" applyBorder="1" applyAlignment="1">
      <alignment horizontal="center" vertical="center"/>
    </xf>
    <xf numFmtId="0" fontId="0" fillId="4" borderId="21" xfId="0" applyFill="1" applyBorder="1" applyAlignment="1">
      <alignment horizontal="center" vertical="center" wrapText="1"/>
    </xf>
    <xf numFmtId="0" fontId="0" fillId="0" borderId="0" xfId="0" applyAlignment="1">
      <alignment horizontal="center" wrapText="1"/>
    </xf>
    <xf numFmtId="0" fontId="0" fillId="4" borderId="24" xfId="0" applyFill="1" applyBorder="1" applyAlignment="1">
      <alignment horizontal="center" vertical="center" wrapText="1"/>
    </xf>
    <xf numFmtId="0" fontId="0" fillId="4" borderId="25" xfId="0" applyFill="1" applyBorder="1" applyAlignment="1">
      <alignment horizontal="center" vertical="center" wrapText="1"/>
    </xf>
    <xf numFmtId="0" fontId="0" fillId="4" borderId="26" xfId="0" applyFill="1" applyBorder="1" applyAlignment="1">
      <alignment horizontal="center" vertical="center" wrapText="1"/>
    </xf>
    <xf numFmtId="0" fontId="0" fillId="0" borderId="27" xfId="0" applyBorder="1" applyAlignment="1">
      <alignment horizontal="center" vertical="center" wrapText="1"/>
    </xf>
    <xf numFmtId="0" fontId="0" fillId="0" borderId="28" xfId="0" applyBorder="1" applyAlignment="1">
      <alignment horizontal="center" vertical="center" wrapText="1"/>
    </xf>
    <xf numFmtId="0" fontId="0" fillId="0" borderId="29" xfId="0" applyBorder="1" applyAlignment="1">
      <alignment horizontal="center" vertical="center" wrapText="1"/>
    </xf>
    <xf numFmtId="0" fontId="0" fillId="0" borderId="30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31" xfId="0" applyBorder="1" applyAlignment="1">
      <alignment horizontal="center" vertical="center" wrapText="1"/>
    </xf>
    <xf numFmtId="0" fontId="0" fillId="0" borderId="33" xfId="0" applyBorder="1" applyAlignment="1">
      <alignment horizontal="center" vertical="center" wrapText="1"/>
    </xf>
    <xf numFmtId="0" fontId="0" fillId="0" borderId="34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6" fillId="0" borderId="0" xfId="0" applyFont="1"/>
    <xf numFmtId="0" fontId="0" fillId="2" borderId="0" xfId="0" applyFill="1" applyBorder="1" applyAlignment="1">
      <alignment horizontal="center"/>
    </xf>
    <xf numFmtId="0" fontId="0" fillId="0" borderId="0" xfId="0" applyAlignment="1">
      <alignment horizontal="left"/>
    </xf>
    <xf numFmtId="0" fontId="0" fillId="2" borderId="0" xfId="0" applyFill="1" applyBorder="1" applyAlignment="1">
      <alignment horizontal="left"/>
    </xf>
    <xf numFmtId="0" fontId="0" fillId="0" borderId="1" xfId="0" applyBorder="1" applyAlignment="1">
      <alignment horizontal="left" vertical="center"/>
    </xf>
    <xf numFmtId="0" fontId="16" fillId="0" borderId="35" xfId="0" applyFont="1" applyBorder="1" applyAlignment="1">
      <alignment horizontal="left" vertical="center"/>
    </xf>
    <xf numFmtId="0" fontId="16" fillId="0" borderId="35" xfId="0" applyFont="1" applyBorder="1" applyAlignment="1">
      <alignment horizontal="center" vertical="center"/>
    </xf>
    <xf numFmtId="0" fontId="0" fillId="0" borderId="38" xfId="0" applyBorder="1" applyAlignment="1">
      <alignment horizontal="center" vertical="center"/>
    </xf>
    <xf numFmtId="0" fontId="0" fillId="0" borderId="39" xfId="0" applyBorder="1" applyAlignment="1">
      <alignment horizontal="center" vertical="center"/>
    </xf>
    <xf numFmtId="0" fontId="8" fillId="0" borderId="37" xfId="0" applyFont="1" applyBorder="1" applyAlignment="1">
      <alignment horizontal="left" vertical="center"/>
    </xf>
    <xf numFmtId="0" fontId="15" fillId="0" borderId="1" xfId="0" applyFont="1" applyBorder="1" applyAlignment="1">
      <alignment horizontal="center" vertical="center" wrapText="1"/>
    </xf>
    <xf numFmtId="0" fontId="0" fillId="0" borderId="41" xfId="0" applyFill="1" applyBorder="1" applyAlignment="1">
      <alignment horizontal="center" vertical="center"/>
    </xf>
    <xf numFmtId="0" fontId="0" fillId="5" borderId="1" xfId="0" applyFill="1" applyBorder="1" applyAlignment="1">
      <alignment horizontal="left" vertical="center"/>
    </xf>
    <xf numFmtId="0" fontId="0" fillId="5" borderId="1" xfId="0" applyFill="1" applyBorder="1" applyAlignment="1">
      <alignment horizontal="center" vertical="center"/>
    </xf>
    <xf numFmtId="0" fontId="17" fillId="6" borderId="40" xfId="0" applyFont="1" applyFill="1" applyBorder="1" applyAlignment="1">
      <alignment vertical="top"/>
    </xf>
    <xf numFmtId="0" fontId="18" fillId="0" borderId="32" xfId="0" applyFont="1" applyBorder="1" applyAlignment="1">
      <alignment horizontal="center" vertical="center" wrapText="1"/>
    </xf>
    <xf numFmtId="0" fontId="0" fillId="0" borderId="12" xfId="0" applyFont="1" applyBorder="1" applyAlignment="1">
      <alignment horizontal="center" vertical="center" wrapText="1"/>
    </xf>
    <xf numFmtId="0" fontId="0" fillId="0" borderId="8" xfId="0" applyFont="1" applyBorder="1" applyAlignment="1">
      <alignment horizontal="center" vertical="center" wrapText="1"/>
    </xf>
    <xf numFmtId="0" fontId="0" fillId="0" borderId="5" xfId="0" applyFont="1" applyBorder="1" applyAlignment="1">
      <alignment horizontal="center" vertical="center" wrapText="1"/>
    </xf>
    <xf numFmtId="0" fontId="5" fillId="0" borderId="2" xfId="0" applyFont="1" applyFill="1" applyBorder="1" applyAlignment="1">
      <alignment horizontal="center" vertical="center"/>
    </xf>
    <xf numFmtId="0" fontId="5" fillId="0" borderId="4" xfId="0" applyFont="1" applyFill="1" applyBorder="1" applyAlignment="1">
      <alignment horizontal="center" vertical="center"/>
    </xf>
    <xf numFmtId="0" fontId="0" fillId="0" borderId="12" xfId="0" applyFont="1" applyBorder="1" applyAlignment="1">
      <alignment horizontal="center" vertical="center"/>
    </xf>
    <xf numFmtId="0" fontId="0" fillId="0" borderId="5" xfId="0" applyFont="1" applyBorder="1" applyAlignment="1">
      <alignment horizontal="center" vertical="center"/>
    </xf>
    <xf numFmtId="0" fontId="10" fillId="3" borderId="15" xfId="0" applyFont="1" applyFill="1" applyBorder="1" applyAlignment="1">
      <alignment horizontal="center" vertical="center"/>
    </xf>
    <xf numFmtId="0" fontId="10" fillId="3" borderId="16" xfId="0" applyFont="1" applyFill="1" applyBorder="1" applyAlignment="1">
      <alignment horizontal="center" vertical="center"/>
    </xf>
    <xf numFmtId="0" fontId="10" fillId="3" borderId="17" xfId="0" applyFont="1" applyFill="1" applyBorder="1" applyAlignment="1">
      <alignment horizontal="center" vertical="center"/>
    </xf>
    <xf numFmtId="0" fontId="0" fillId="2" borderId="6" xfId="0" applyFill="1" applyBorder="1" applyAlignment="1">
      <alignment horizontal="center"/>
    </xf>
    <xf numFmtId="0" fontId="0" fillId="2" borderId="9" xfId="0" applyFill="1" applyBorder="1" applyAlignment="1">
      <alignment horizontal="center"/>
    </xf>
    <xf numFmtId="0" fontId="0" fillId="2" borderId="10" xfId="0" applyFill="1" applyBorder="1" applyAlignment="1">
      <alignment horizontal="center"/>
    </xf>
    <xf numFmtId="0" fontId="6" fillId="0" borderId="12" xfId="0" applyFont="1" applyBorder="1" applyAlignment="1">
      <alignment horizontal="center" vertical="center"/>
    </xf>
    <xf numFmtId="0" fontId="6" fillId="0" borderId="8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6" fillId="0" borderId="14" xfId="0" applyFont="1" applyBorder="1" applyAlignment="1">
      <alignment horizontal="center" vertical="center"/>
    </xf>
    <xf numFmtId="0" fontId="6" fillId="0" borderId="18" xfId="0" applyFont="1" applyBorder="1" applyAlignment="1">
      <alignment horizontal="center" vertical="center"/>
    </xf>
    <xf numFmtId="0" fontId="6" fillId="0" borderId="14" xfId="0" applyFont="1" applyBorder="1" applyAlignment="1">
      <alignment horizontal="center" vertical="center" wrapText="1"/>
    </xf>
    <xf numFmtId="0" fontId="6" fillId="0" borderId="8" xfId="0" applyFont="1" applyBorder="1" applyAlignment="1">
      <alignment horizontal="center" vertical="center" wrapText="1"/>
    </xf>
    <xf numFmtId="0" fontId="6" fillId="0" borderId="13" xfId="0" applyFont="1" applyBorder="1" applyAlignment="1">
      <alignment horizontal="center" vertical="center" wrapText="1"/>
    </xf>
    <xf numFmtId="0" fontId="5" fillId="0" borderId="19" xfId="0" applyFont="1" applyFill="1" applyBorder="1" applyAlignment="1">
      <alignment horizontal="center" vertical="center"/>
    </xf>
    <xf numFmtId="0" fontId="6" fillId="0" borderId="12" xfId="0" applyFont="1" applyBorder="1" applyAlignment="1">
      <alignment horizontal="center" vertical="center" wrapText="1"/>
    </xf>
    <xf numFmtId="0" fontId="11" fillId="3" borderId="15" xfId="0" applyFont="1" applyFill="1" applyBorder="1" applyAlignment="1">
      <alignment horizontal="center" vertical="center"/>
    </xf>
    <xf numFmtId="0" fontId="11" fillId="3" borderId="16" xfId="0" applyFont="1" applyFill="1" applyBorder="1" applyAlignment="1">
      <alignment horizontal="center" vertical="center"/>
    </xf>
    <xf numFmtId="0" fontId="11" fillId="3" borderId="17" xfId="0" applyFont="1" applyFill="1" applyBorder="1" applyAlignment="1">
      <alignment horizontal="center" vertical="center"/>
    </xf>
    <xf numFmtId="0" fontId="15" fillId="0" borderId="36" xfId="0" applyFont="1" applyFill="1" applyBorder="1" applyAlignment="1">
      <alignment horizontal="center"/>
    </xf>
    <xf numFmtId="0" fontId="14" fillId="0" borderId="0" xfId="0" applyFont="1" applyAlignment="1">
      <alignment horizontal="center" vertical="center"/>
    </xf>
    <xf numFmtId="0" fontId="0" fillId="2" borderId="2" xfId="0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0" fillId="0" borderId="0" xfId="0" applyAlignment="1">
      <alignment horizontal="center"/>
    </xf>
  </cellXfs>
  <cellStyles count="2">
    <cellStyle name="Normal" xfId="0" builtinId="0"/>
    <cellStyle name="Normal 3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19050</xdr:colOff>
      <xdr:row>0</xdr:row>
      <xdr:rowOff>0</xdr:rowOff>
    </xdr:from>
    <xdr:to>
      <xdr:col>2</xdr:col>
      <xdr:colOff>0</xdr:colOff>
      <xdr:row>0</xdr:row>
      <xdr:rowOff>619125</xdr:rowOff>
    </xdr:to>
    <xdr:pic>
      <xdr:nvPicPr>
        <xdr:cNvPr id="3" name="Picture 2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9050" y="0"/>
          <a:ext cx="4057650" cy="61912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43295</xdr:colOff>
      <xdr:row>0</xdr:row>
      <xdr:rowOff>27710</xdr:rowOff>
    </xdr:from>
    <xdr:to>
      <xdr:col>1</xdr:col>
      <xdr:colOff>2337954</xdr:colOff>
      <xdr:row>0</xdr:row>
      <xdr:rowOff>646835</xdr:rowOff>
    </xdr:to>
    <xdr:pic>
      <xdr:nvPicPr>
        <xdr:cNvPr id="3" name="Picture 2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3295" y="27710"/>
          <a:ext cx="3532909" cy="619125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57150</xdr:colOff>
      <xdr:row>0</xdr:row>
      <xdr:rowOff>9525</xdr:rowOff>
    </xdr:from>
    <xdr:to>
      <xdr:col>2</xdr:col>
      <xdr:colOff>28575</xdr:colOff>
      <xdr:row>0</xdr:row>
      <xdr:rowOff>647700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7150" y="9525"/>
          <a:ext cx="3800475" cy="6381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15"/>
  <sheetViews>
    <sheetView workbookViewId="0">
      <selection activeCell="D19" sqref="D19"/>
    </sheetView>
  </sheetViews>
  <sheetFormatPr defaultColWidth="40.7109375" defaultRowHeight="12"/>
  <cols>
    <col min="1" max="1" width="24.7109375" style="2" customWidth="1"/>
    <col min="2" max="2" width="36.42578125" style="1" customWidth="1"/>
    <col min="3" max="3" width="37.42578125" style="1" customWidth="1"/>
    <col min="4" max="4" width="36.140625" style="1" customWidth="1"/>
    <col min="5" max="16384" width="40.7109375" style="1"/>
  </cols>
  <sheetData>
    <row r="1" spans="1:5" ht="51" customHeight="1" thickBot="1">
      <c r="A1" s="3"/>
      <c r="B1" s="4"/>
      <c r="C1" s="66" t="s">
        <v>76</v>
      </c>
      <c r="D1" s="67"/>
    </row>
    <row r="2" spans="1:5" customFormat="1" ht="15.75" thickBot="1">
      <c r="A2" s="13" t="s">
        <v>14</v>
      </c>
      <c r="B2" s="15" t="s">
        <v>1</v>
      </c>
      <c r="C2" s="15" t="s">
        <v>2</v>
      </c>
      <c r="D2" s="15" t="s">
        <v>3</v>
      </c>
      <c r="E2" s="8"/>
    </row>
    <row r="3" spans="1:5" ht="32.25" customHeight="1" thickBot="1">
      <c r="A3" s="14" t="s">
        <v>15</v>
      </c>
      <c r="B3" s="16" t="s">
        <v>16</v>
      </c>
      <c r="C3" s="16" t="s">
        <v>17</v>
      </c>
      <c r="D3" s="16" t="s">
        <v>18</v>
      </c>
      <c r="E3" s="8"/>
    </row>
    <row r="4" spans="1:5" ht="32.25" customHeight="1" thickBot="1">
      <c r="A4" s="14" t="s">
        <v>19</v>
      </c>
      <c r="B4" s="16" t="s">
        <v>20</v>
      </c>
      <c r="C4" s="16" t="s">
        <v>20</v>
      </c>
      <c r="D4" s="16" t="s">
        <v>20</v>
      </c>
      <c r="E4" s="8"/>
    </row>
    <row r="5" spans="1:5" ht="24" customHeight="1">
      <c r="A5" s="68" t="s">
        <v>21</v>
      </c>
      <c r="B5" s="63" t="s">
        <v>51</v>
      </c>
      <c r="C5" s="63" t="s">
        <v>52</v>
      </c>
      <c r="D5" s="63" t="s">
        <v>53</v>
      </c>
      <c r="E5" s="8"/>
    </row>
    <row r="6" spans="1:5" ht="24" customHeight="1" thickBot="1">
      <c r="A6" s="69"/>
      <c r="B6" s="65"/>
      <c r="C6" s="65"/>
      <c r="D6" s="65"/>
      <c r="E6" s="8"/>
    </row>
    <row r="7" spans="1:5" ht="24" customHeight="1">
      <c r="A7" s="68" t="s">
        <v>22</v>
      </c>
      <c r="B7" s="63" t="s">
        <v>23</v>
      </c>
      <c r="C7" s="63" t="s">
        <v>24</v>
      </c>
      <c r="D7" s="63" t="s">
        <v>24</v>
      </c>
      <c r="E7" s="8"/>
    </row>
    <row r="8" spans="1:5" ht="17.25" customHeight="1" thickBot="1">
      <c r="A8" s="69"/>
      <c r="B8" s="65"/>
      <c r="C8" s="65"/>
      <c r="D8" s="65"/>
      <c r="E8" s="8"/>
    </row>
    <row r="9" spans="1:5" ht="19.5" customHeight="1" thickBot="1">
      <c r="A9" s="63" t="s">
        <v>5</v>
      </c>
      <c r="B9" s="17" t="s">
        <v>25</v>
      </c>
      <c r="C9" s="17" t="s">
        <v>49</v>
      </c>
      <c r="D9" s="17" t="s">
        <v>50</v>
      </c>
      <c r="E9" s="8"/>
    </row>
    <row r="10" spans="1:5" ht="24" customHeight="1" thickBot="1">
      <c r="A10" s="64"/>
      <c r="B10" s="17" t="s">
        <v>26</v>
      </c>
      <c r="C10" s="17" t="s">
        <v>27</v>
      </c>
      <c r="D10" s="17" t="s">
        <v>28</v>
      </c>
      <c r="E10" s="8"/>
    </row>
    <row r="11" spans="1:5" ht="19.5" customHeight="1" thickBot="1">
      <c r="A11" s="64"/>
      <c r="B11" s="17" t="s">
        <v>29</v>
      </c>
      <c r="C11" s="17" t="s">
        <v>30</v>
      </c>
      <c r="D11" s="17" t="s">
        <v>29</v>
      </c>
      <c r="E11" s="8"/>
    </row>
    <row r="12" spans="1:5" ht="22.5" customHeight="1" thickBot="1">
      <c r="A12" s="64"/>
      <c r="B12" s="17" t="s">
        <v>31</v>
      </c>
      <c r="C12" s="17" t="s">
        <v>32</v>
      </c>
      <c r="D12" s="17" t="s">
        <v>33</v>
      </c>
      <c r="E12" s="8"/>
    </row>
    <row r="13" spans="1:5" ht="16.5" customHeight="1" thickBot="1">
      <c r="A13" s="64"/>
      <c r="B13" s="17" t="s">
        <v>73</v>
      </c>
      <c r="C13" s="17" t="s">
        <v>72</v>
      </c>
      <c r="D13" s="17" t="s">
        <v>71</v>
      </c>
      <c r="E13" s="8"/>
    </row>
    <row r="14" spans="1:5" ht="21.75" customHeight="1" thickBot="1">
      <c r="A14" s="65"/>
      <c r="B14" s="17" t="s">
        <v>34</v>
      </c>
      <c r="C14" s="17" t="s">
        <v>0</v>
      </c>
      <c r="D14" s="17" t="s">
        <v>34</v>
      </c>
      <c r="E14" s="8"/>
    </row>
    <row r="15" spans="1:5" ht="15">
      <c r="A15" s="6"/>
      <c r="B15" s="7"/>
      <c r="C15" s="7"/>
      <c r="D15" s="7"/>
      <c r="E15"/>
    </row>
  </sheetData>
  <mergeCells count="10">
    <mergeCell ref="A9:A14"/>
    <mergeCell ref="C1:D1"/>
    <mergeCell ref="A7:A8"/>
    <mergeCell ref="B5:B6"/>
    <mergeCell ref="C5:C6"/>
    <mergeCell ref="D5:D6"/>
    <mergeCell ref="C7:C8"/>
    <mergeCell ref="D7:D8"/>
    <mergeCell ref="A5:A6"/>
    <mergeCell ref="B7:B8"/>
  </mergeCells>
  <pageMargins left="0.25" right="0.25" top="0.75" bottom="0.75" header="0.3" footer="0.3"/>
  <pageSetup paperSize="9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19"/>
  <sheetViews>
    <sheetView zoomScale="110" zoomScaleNormal="110" workbookViewId="0">
      <selection activeCell="C1" sqref="C1:D1"/>
    </sheetView>
  </sheetViews>
  <sheetFormatPr defaultRowHeight="15"/>
  <cols>
    <col min="1" max="1" width="18.5703125" customWidth="1"/>
    <col min="2" max="2" width="35.42578125" customWidth="1"/>
    <col min="3" max="3" width="36.7109375" customWidth="1"/>
    <col min="4" max="4" width="36.140625" customWidth="1"/>
  </cols>
  <sheetData>
    <row r="1" spans="1:5" ht="53.25" customHeight="1" thickBot="1">
      <c r="A1" s="5"/>
      <c r="B1" s="5"/>
      <c r="C1" s="84" t="s">
        <v>74</v>
      </c>
      <c r="D1" s="67"/>
    </row>
    <row r="2" spans="1:5" ht="15.75" thickBot="1">
      <c r="A2" s="18" t="s">
        <v>4</v>
      </c>
      <c r="B2" s="18" t="s">
        <v>1</v>
      </c>
      <c r="C2" s="18" t="s">
        <v>2</v>
      </c>
      <c r="D2" s="18" t="s">
        <v>3</v>
      </c>
    </row>
    <row r="3" spans="1:5" ht="23.25" customHeight="1" thickBot="1">
      <c r="A3" s="19" t="s">
        <v>6</v>
      </c>
      <c r="B3" s="9" t="s">
        <v>35</v>
      </c>
      <c r="C3" s="9" t="s">
        <v>35</v>
      </c>
      <c r="D3" s="9" t="s">
        <v>35</v>
      </c>
      <c r="E3" s="8"/>
    </row>
    <row r="4" spans="1:5" ht="15" customHeight="1">
      <c r="A4" s="76" t="s">
        <v>7</v>
      </c>
      <c r="B4" s="85" t="s">
        <v>54</v>
      </c>
      <c r="C4" s="85" t="s">
        <v>54</v>
      </c>
      <c r="D4" s="85" t="s">
        <v>54</v>
      </c>
      <c r="E4" s="8"/>
    </row>
    <row r="5" spans="1:5" ht="27.75" customHeight="1" thickBot="1">
      <c r="A5" s="78"/>
      <c r="B5" s="83"/>
      <c r="C5" s="83"/>
      <c r="D5" s="83"/>
      <c r="E5" s="8"/>
    </row>
    <row r="6" spans="1:5" ht="15" customHeight="1">
      <c r="A6" s="79" t="s">
        <v>8</v>
      </c>
      <c r="B6" s="81" t="s">
        <v>55</v>
      </c>
      <c r="C6" s="81" t="s">
        <v>56</v>
      </c>
      <c r="D6" s="81" t="s">
        <v>57</v>
      </c>
      <c r="E6" s="8"/>
    </row>
    <row r="7" spans="1:5" ht="15" customHeight="1">
      <c r="A7" s="77"/>
      <c r="B7" s="82"/>
      <c r="C7" s="82"/>
      <c r="D7" s="82"/>
      <c r="E7" s="8"/>
    </row>
    <row r="8" spans="1:5" ht="15" customHeight="1">
      <c r="A8" s="77"/>
      <c r="B8" s="82"/>
      <c r="C8" s="82"/>
      <c r="D8" s="82"/>
      <c r="E8" s="8"/>
    </row>
    <row r="9" spans="1:5" ht="42.75" customHeight="1" thickBot="1">
      <c r="A9" s="78"/>
      <c r="B9" s="83"/>
      <c r="C9" s="83"/>
      <c r="D9" s="83"/>
      <c r="E9" s="8"/>
    </row>
    <row r="10" spans="1:5" ht="15" customHeight="1" thickBot="1">
      <c r="A10" s="70" t="s">
        <v>5</v>
      </c>
      <c r="B10" s="71"/>
      <c r="C10" s="71"/>
      <c r="D10" s="72"/>
      <c r="E10" s="8"/>
    </row>
    <row r="11" spans="1:5" ht="24.95" customHeight="1" thickBot="1">
      <c r="A11" s="76" t="s">
        <v>36</v>
      </c>
      <c r="B11" s="20" t="s">
        <v>60</v>
      </c>
      <c r="C11" s="20" t="s">
        <v>63</v>
      </c>
      <c r="D11" s="20" t="s">
        <v>67</v>
      </c>
      <c r="E11" s="8"/>
    </row>
    <row r="12" spans="1:5" ht="24.95" customHeight="1" thickBot="1">
      <c r="A12" s="77"/>
      <c r="B12" s="20" t="s">
        <v>37</v>
      </c>
      <c r="C12" s="20" t="s">
        <v>38</v>
      </c>
      <c r="D12" s="20" t="s">
        <v>39</v>
      </c>
      <c r="E12" s="8"/>
    </row>
    <row r="13" spans="1:5" ht="24.95" customHeight="1" thickBot="1">
      <c r="A13" s="78"/>
      <c r="B13" s="20" t="s">
        <v>41</v>
      </c>
      <c r="C13" s="20" t="s">
        <v>41</v>
      </c>
      <c r="D13" s="20" t="s">
        <v>41</v>
      </c>
      <c r="E13" s="8"/>
    </row>
    <row r="14" spans="1:5" ht="24.95" customHeight="1" thickBot="1">
      <c r="A14" s="11" t="s">
        <v>10</v>
      </c>
      <c r="B14" s="20" t="s">
        <v>61</v>
      </c>
      <c r="C14" s="20" t="s">
        <v>64</v>
      </c>
      <c r="D14" s="20" t="s">
        <v>66</v>
      </c>
      <c r="E14" s="8"/>
    </row>
    <row r="15" spans="1:5" ht="24.95" customHeight="1" thickBot="1">
      <c r="A15" s="24"/>
      <c r="B15" s="22" t="s">
        <v>81</v>
      </c>
      <c r="C15" s="20" t="s">
        <v>84</v>
      </c>
      <c r="D15" s="20" t="s">
        <v>85</v>
      </c>
      <c r="E15" s="8"/>
    </row>
    <row r="16" spans="1:5" ht="24.95" customHeight="1" thickBot="1">
      <c r="A16" s="23" t="s">
        <v>40</v>
      </c>
      <c r="B16" s="22" t="s">
        <v>62</v>
      </c>
      <c r="C16" s="20" t="s">
        <v>82</v>
      </c>
      <c r="D16" s="20" t="s">
        <v>69</v>
      </c>
      <c r="E16" s="8"/>
    </row>
    <row r="17" spans="1:5" ht="24.95" customHeight="1" thickBot="1">
      <c r="A17" s="79" t="s">
        <v>9</v>
      </c>
      <c r="B17" s="20" t="s">
        <v>79</v>
      </c>
      <c r="C17" s="20" t="s">
        <v>65</v>
      </c>
      <c r="D17" s="20" t="s">
        <v>80</v>
      </c>
      <c r="E17" s="8"/>
    </row>
    <row r="18" spans="1:5" ht="24.95" customHeight="1" thickBot="1">
      <c r="A18" s="80"/>
      <c r="B18" s="20" t="s">
        <v>42</v>
      </c>
      <c r="C18" s="20" t="s">
        <v>42</v>
      </c>
      <c r="D18" s="20" t="s">
        <v>83</v>
      </c>
      <c r="E18" s="8"/>
    </row>
    <row r="19" spans="1:5">
      <c r="A19" s="73"/>
      <c r="B19" s="74"/>
      <c r="C19" s="74"/>
      <c r="D19" s="75"/>
    </row>
  </sheetData>
  <mergeCells count="13">
    <mergeCell ref="C1:D1"/>
    <mergeCell ref="A4:A5"/>
    <mergeCell ref="B4:B5"/>
    <mergeCell ref="C4:C5"/>
    <mergeCell ref="D4:D5"/>
    <mergeCell ref="A10:D10"/>
    <mergeCell ref="A19:D19"/>
    <mergeCell ref="A11:A13"/>
    <mergeCell ref="A17:A18"/>
    <mergeCell ref="A6:A9"/>
    <mergeCell ref="B6:B9"/>
    <mergeCell ref="C6:C9"/>
    <mergeCell ref="D6:D9"/>
  </mergeCells>
  <pageMargins left="0.7" right="0.7" top="0.75" bottom="0.75" header="0.3" footer="0.3"/>
  <pageSetup paperSize="9"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18"/>
  <sheetViews>
    <sheetView workbookViewId="0">
      <selection activeCell="C1" sqref="C1:D1"/>
    </sheetView>
  </sheetViews>
  <sheetFormatPr defaultRowHeight="15"/>
  <cols>
    <col min="1" max="1" width="18.5703125" customWidth="1"/>
    <col min="2" max="2" width="38.85546875" customWidth="1"/>
    <col min="3" max="3" width="30.5703125" customWidth="1"/>
    <col min="4" max="4" width="38.28515625" customWidth="1"/>
  </cols>
  <sheetData>
    <row r="1" spans="1:5" ht="53.25" customHeight="1" thickBot="1">
      <c r="A1" s="5"/>
      <c r="B1" s="5"/>
      <c r="C1" s="84" t="s">
        <v>75</v>
      </c>
      <c r="D1" s="67"/>
    </row>
    <row r="2" spans="1:5" ht="15.75" thickBot="1">
      <c r="A2" s="18" t="s">
        <v>4</v>
      </c>
      <c r="B2" s="18" t="s">
        <v>1</v>
      </c>
      <c r="C2" s="18" t="s">
        <v>2</v>
      </c>
      <c r="D2" s="18" t="s">
        <v>3</v>
      </c>
    </row>
    <row r="3" spans="1:5" ht="23.25" customHeight="1" thickBot="1">
      <c r="A3" s="19" t="s">
        <v>6</v>
      </c>
      <c r="B3" s="9" t="s">
        <v>35</v>
      </c>
      <c r="C3" s="9" t="s">
        <v>35</v>
      </c>
      <c r="D3" s="9" t="s">
        <v>35</v>
      </c>
      <c r="E3" s="8"/>
    </row>
    <row r="4" spans="1:5" ht="15" customHeight="1">
      <c r="A4" s="76" t="s">
        <v>7</v>
      </c>
      <c r="B4" s="85" t="s">
        <v>54</v>
      </c>
      <c r="C4" s="85" t="s">
        <v>54</v>
      </c>
      <c r="D4" s="85" t="s">
        <v>54</v>
      </c>
      <c r="E4" s="8"/>
    </row>
    <row r="5" spans="1:5" ht="27.75" customHeight="1" thickBot="1">
      <c r="A5" s="78"/>
      <c r="B5" s="83"/>
      <c r="C5" s="83"/>
      <c r="D5" s="83"/>
      <c r="E5" s="8"/>
    </row>
    <row r="6" spans="1:5" ht="15" customHeight="1">
      <c r="A6" s="79" t="s">
        <v>8</v>
      </c>
      <c r="B6" s="81" t="s">
        <v>55</v>
      </c>
      <c r="C6" s="81" t="s">
        <v>56</v>
      </c>
      <c r="D6" s="81" t="s">
        <v>57</v>
      </c>
      <c r="E6" s="8"/>
    </row>
    <row r="7" spans="1:5" ht="15" customHeight="1">
      <c r="A7" s="77"/>
      <c r="B7" s="82"/>
      <c r="C7" s="82"/>
      <c r="D7" s="82"/>
      <c r="E7" s="8"/>
    </row>
    <row r="8" spans="1:5" ht="15" customHeight="1">
      <c r="A8" s="77"/>
      <c r="B8" s="82"/>
      <c r="C8" s="82"/>
      <c r="D8" s="82"/>
      <c r="E8" s="8"/>
    </row>
    <row r="9" spans="1:5" ht="30.75" customHeight="1" thickBot="1">
      <c r="A9" s="78"/>
      <c r="B9" s="83"/>
      <c r="C9" s="83"/>
      <c r="D9" s="83"/>
      <c r="E9" s="8"/>
    </row>
    <row r="10" spans="1:5" ht="15" customHeight="1" thickBot="1">
      <c r="A10" s="86" t="s">
        <v>5</v>
      </c>
      <c r="B10" s="87"/>
      <c r="C10" s="87"/>
      <c r="D10" s="88"/>
      <c r="E10" s="8"/>
    </row>
    <row r="11" spans="1:5" ht="24.95" customHeight="1" thickBot="1">
      <c r="A11" s="76" t="s">
        <v>36</v>
      </c>
      <c r="B11" s="20" t="s">
        <v>43</v>
      </c>
      <c r="C11" s="20" t="s">
        <v>59</v>
      </c>
      <c r="D11" s="20" t="s">
        <v>86</v>
      </c>
      <c r="E11" s="8"/>
    </row>
    <row r="12" spans="1:5" ht="24.95" customHeight="1" thickBot="1">
      <c r="A12" s="78"/>
      <c r="B12" s="20" t="s">
        <v>44</v>
      </c>
      <c r="C12" s="20" t="s">
        <v>12</v>
      </c>
      <c r="D12" s="21" t="s">
        <v>13</v>
      </c>
      <c r="E12" s="8"/>
    </row>
    <row r="13" spans="1:5" ht="24.95" customHeight="1" thickBot="1">
      <c r="A13" s="11" t="s">
        <v>10</v>
      </c>
      <c r="B13" s="20" t="s">
        <v>58</v>
      </c>
      <c r="C13" s="20" t="s">
        <v>45</v>
      </c>
      <c r="D13" s="20" t="s">
        <v>68</v>
      </c>
      <c r="E13" s="8"/>
    </row>
    <row r="14" spans="1:5" ht="24.95" customHeight="1" thickBot="1">
      <c r="A14" s="12" t="s">
        <v>40</v>
      </c>
      <c r="B14" s="20" t="s">
        <v>46</v>
      </c>
      <c r="C14" s="20" t="s">
        <v>47</v>
      </c>
      <c r="D14" s="20" t="s">
        <v>70</v>
      </c>
      <c r="E14" s="8"/>
    </row>
    <row r="15" spans="1:5" ht="24.95" customHeight="1" thickBot="1">
      <c r="A15" s="76" t="s">
        <v>9</v>
      </c>
      <c r="B15" s="20" t="s">
        <v>87</v>
      </c>
      <c r="C15" s="20" t="s">
        <v>48</v>
      </c>
      <c r="D15" s="20" t="s">
        <v>78</v>
      </c>
      <c r="E15" s="8"/>
    </row>
    <row r="16" spans="1:5" ht="24.95" customHeight="1" thickBot="1">
      <c r="A16" s="78"/>
      <c r="B16" s="20" t="s">
        <v>41</v>
      </c>
      <c r="C16" s="20" t="s">
        <v>41</v>
      </c>
      <c r="D16" s="20" t="s">
        <v>41</v>
      </c>
      <c r="E16" s="8"/>
    </row>
    <row r="17" spans="1:5" ht="24.95" customHeight="1" thickBot="1">
      <c r="A17" s="10" t="s">
        <v>11</v>
      </c>
      <c r="B17" s="20" t="s">
        <v>42</v>
      </c>
      <c r="C17" s="20" t="s">
        <v>42</v>
      </c>
      <c r="D17" s="20" t="s">
        <v>77</v>
      </c>
      <c r="E17" s="8"/>
    </row>
    <row r="18" spans="1:5">
      <c r="A18" s="6"/>
      <c r="B18" s="7"/>
      <c r="C18" s="7"/>
      <c r="D18" s="7"/>
    </row>
  </sheetData>
  <mergeCells count="12">
    <mergeCell ref="A11:A12"/>
    <mergeCell ref="A15:A16"/>
    <mergeCell ref="A10:D10"/>
    <mergeCell ref="C1:D1"/>
    <mergeCell ref="A4:A5"/>
    <mergeCell ref="B4:B5"/>
    <mergeCell ref="C4:C5"/>
    <mergeCell ref="D4:D5"/>
    <mergeCell ref="A6:A9"/>
    <mergeCell ref="B6:B9"/>
    <mergeCell ref="C6:C9"/>
    <mergeCell ref="D6:D9"/>
  </mergeCells>
  <pageMargins left="0.7" right="0.7" top="0.75" bottom="0.75" header="0.3" footer="0.3"/>
  <pageSetup paperSize="9" orientation="landscape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56"/>
  <sheetViews>
    <sheetView tabSelected="1" topLeftCell="A4" workbookViewId="0">
      <selection activeCell="D26" sqref="D26"/>
    </sheetView>
  </sheetViews>
  <sheetFormatPr defaultRowHeight="15"/>
  <cols>
    <col min="1" max="1" width="12.42578125" customWidth="1"/>
    <col min="2" max="2" width="14.28515625" customWidth="1"/>
    <col min="3" max="3" width="17.42578125" customWidth="1"/>
    <col min="4" max="4" width="18.28515625" customWidth="1"/>
    <col min="5" max="5" width="5.140625" customWidth="1"/>
    <col min="6" max="6" width="25.140625" style="49" customWidth="1"/>
    <col min="7" max="7" width="8.42578125" customWidth="1"/>
    <col min="8" max="8" width="8" customWidth="1"/>
    <col min="9" max="9" width="8.28515625" customWidth="1"/>
    <col min="10" max="10" width="8.85546875" customWidth="1"/>
    <col min="11" max="11" width="8.140625" customWidth="1"/>
    <col min="12" max="12" width="7.140625" customWidth="1"/>
    <col min="13" max="13" width="8.42578125" customWidth="1"/>
  </cols>
  <sheetData>
    <row r="1" spans="1:16" ht="30" customHeight="1" thickBot="1">
      <c r="B1" s="25" t="s">
        <v>88</v>
      </c>
      <c r="E1" s="93"/>
    </row>
    <row r="2" spans="1:16" ht="19.5" customHeight="1" thickBot="1">
      <c r="E2" s="93"/>
      <c r="F2" s="91" t="s">
        <v>132</v>
      </c>
      <c r="G2" s="92"/>
      <c r="H2" s="92"/>
      <c r="I2" s="92"/>
      <c r="J2" s="92"/>
      <c r="K2" s="92"/>
      <c r="L2" s="92"/>
      <c r="M2" s="92"/>
    </row>
    <row r="3" spans="1:16" ht="11.25" customHeight="1" thickBot="1">
      <c r="E3" s="93"/>
      <c r="F3" s="50"/>
      <c r="G3" s="89" t="s">
        <v>124</v>
      </c>
      <c r="H3" s="89"/>
      <c r="I3" s="89"/>
      <c r="J3" s="48"/>
      <c r="K3" s="48"/>
      <c r="L3" s="48"/>
      <c r="M3" s="48"/>
    </row>
    <row r="4" spans="1:16" ht="21" customHeight="1">
      <c r="A4" s="26"/>
      <c r="B4" s="32" t="s">
        <v>89</v>
      </c>
      <c r="C4" s="32" t="s">
        <v>90</v>
      </c>
      <c r="E4" s="93"/>
      <c r="F4" s="52" t="s">
        <v>123</v>
      </c>
      <c r="G4" s="53" t="s">
        <v>106</v>
      </c>
      <c r="H4" s="53" t="s">
        <v>107</v>
      </c>
      <c r="I4" s="53" t="s">
        <v>108</v>
      </c>
      <c r="J4" s="53" t="s">
        <v>126</v>
      </c>
      <c r="K4" s="53" t="s">
        <v>128</v>
      </c>
      <c r="L4" s="53" t="s">
        <v>125</v>
      </c>
      <c r="M4" s="53" t="s">
        <v>174</v>
      </c>
    </row>
    <row r="5" spans="1:16" ht="20.100000000000001" customHeight="1">
      <c r="A5" s="27" t="s">
        <v>91</v>
      </c>
      <c r="B5" s="27">
        <v>30</v>
      </c>
      <c r="C5" s="27">
        <v>70</v>
      </c>
      <c r="D5">
        <f>SUM(B5:C5)</f>
        <v>100</v>
      </c>
      <c r="E5" s="93"/>
      <c r="F5" s="51" t="s">
        <v>133</v>
      </c>
      <c r="G5" s="46">
        <v>10</v>
      </c>
      <c r="H5" s="46">
        <v>10</v>
      </c>
      <c r="I5" s="46">
        <v>10</v>
      </c>
      <c r="J5" s="46">
        <v>30</v>
      </c>
      <c r="K5" s="46" t="s">
        <v>134</v>
      </c>
      <c r="L5" s="46">
        <v>2.75</v>
      </c>
      <c r="M5" s="46">
        <v>82.5</v>
      </c>
    </row>
    <row r="6" spans="1:16" ht="20.100000000000001" customHeight="1">
      <c r="A6" s="27" t="s">
        <v>92</v>
      </c>
      <c r="B6" s="27">
        <v>75</v>
      </c>
      <c r="C6" s="27">
        <v>55</v>
      </c>
      <c r="D6">
        <f>SUM(B6:C6)</f>
        <v>130</v>
      </c>
      <c r="E6" s="93"/>
      <c r="F6" s="51" t="s">
        <v>129</v>
      </c>
      <c r="G6" s="46">
        <v>4</v>
      </c>
      <c r="H6" s="46">
        <v>4</v>
      </c>
      <c r="I6" s="46">
        <v>4</v>
      </c>
      <c r="J6" s="46">
        <v>12</v>
      </c>
      <c r="K6" s="46" t="s">
        <v>134</v>
      </c>
      <c r="L6" s="46">
        <v>3.75</v>
      </c>
      <c r="M6" s="46">
        <v>45</v>
      </c>
      <c r="P6" s="47"/>
    </row>
    <row r="7" spans="1:16" ht="20.100000000000001" customHeight="1">
      <c r="A7" s="27" t="s">
        <v>93</v>
      </c>
      <c r="B7" s="27">
        <v>70</v>
      </c>
      <c r="C7" s="27">
        <v>65</v>
      </c>
      <c r="D7">
        <f>SUM(B7:C7)</f>
        <v>135</v>
      </c>
      <c r="E7" s="93"/>
      <c r="F7" s="51" t="s">
        <v>135</v>
      </c>
      <c r="G7" s="46">
        <v>4</v>
      </c>
      <c r="H7" s="46">
        <v>4</v>
      </c>
      <c r="I7" s="46">
        <v>4</v>
      </c>
      <c r="J7" s="46">
        <v>12</v>
      </c>
      <c r="K7" s="46" t="s">
        <v>134</v>
      </c>
      <c r="L7" s="46">
        <v>2.9</v>
      </c>
      <c r="M7" s="46">
        <v>34.799999999999997</v>
      </c>
    </row>
    <row r="8" spans="1:16" ht="20.100000000000001" customHeight="1" thickBot="1">
      <c r="A8" s="28" t="s">
        <v>94</v>
      </c>
      <c r="B8" s="28">
        <v>10</v>
      </c>
      <c r="C8" s="28">
        <v>0</v>
      </c>
      <c r="E8" s="93"/>
      <c r="F8" s="51" t="s">
        <v>136</v>
      </c>
      <c r="G8" s="46">
        <v>10</v>
      </c>
      <c r="H8" s="46">
        <v>0</v>
      </c>
      <c r="I8" s="46">
        <v>10</v>
      </c>
      <c r="J8" s="46">
        <v>20</v>
      </c>
      <c r="K8" s="46" t="s">
        <v>134</v>
      </c>
      <c r="L8" s="46">
        <v>3.4</v>
      </c>
      <c r="M8" s="46">
        <v>68</v>
      </c>
    </row>
    <row r="9" spans="1:16" ht="20.100000000000001" customHeight="1">
      <c r="E9" s="93"/>
      <c r="F9" s="51" t="s">
        <v>137</v>
      </c>
      <c r="G9" s="46">
        <v>10</v>
      </c>
      <c r="H9" s="46"/>
      <c r="I9" s="46">
        <v>10</v>
      </c>
      <c r="J9" s="46">
        <v>20</v>
      </c>
      <c r="K9" s="46" t="s">
        <v>134</v>
      </c>
      <c r="L9" s="46">
        <v>3.5</v>
      </c>
      <c r="M9" s="46">
        <v>35</v>
      </c>
    </row>
    <row r="10" spans="1:16" ht="20.100000000000001" customHeight="1" thickBot="1">
      <c r="B10" s="30" t="s">
        <v>95</v>
      </c>
      <c r="C10" s="30"/>
      <c r="E10" s="93"/>
      <c r="F10" s="51" t="s">
        <v>138</v>
      </c>
      <c r="G10" s="46">
        <v>4</v>
      </c>
      <c r="H10" s="46">
        <v>4</v>
      </c>
      <c r="I10" s="46">
        <v>4</v>
      </c>
      <c r="J10" s="46">
        <v>12</v>
      </c>
      <c r="K10" s="46" t="s">
        <v>134</v>
      </c>
      <c r="L10" s="46">
        <v>6.6</v>
      </c>
      <c r="M10" s="46">
        <v>78</v>
      </c>
    </row>
    <row r="11" spans="1:16" ht="21.75" customHeight="1">
      <c r="A11" s="26"/>
      <c r="B11" s="32" t="s">
        <v>89</v>
      </c>
      <c r="C11" s="32" t="s">
        <v>90</v>
      </c>
      <c r="D11" s="33" t="s">
        <v>96</v>
      </c>
      <c r="E11" s="93"/>
      <c r="F11" s="51" t="s">
        <v>173</v>
      </c>
      <c r="G11" s="46">
        <v>5</v>
      </c>
      <c r="H11" s="46">
        <v>5</v>
      </c>
      <c r="I11" s="46">
        <v>5</v>
      </c>
      <c r="J11" s="46">
        <v>15</v>
      </c>
      <c r="K11" s="46" t="s">
        <v>134</v>
      </c>
      <c r="L11" s="46">
        <v>6</v>
      </c>
      <c r="M11" s="46">
        <v>72</v>
      </c>
    </row>
    <row r="12" spans="1:16" ht="20.100000000000001" customHeight="1">
      <c r="A12" s="27" t="s">
        <v>91</v>
      </c>
      <c r="B12" s="27" t="s">
        <v>97</v>
      </c>
      <c r="C12" s="27" t="s">
        <v>100</v>
      </c>
      <c r="D12" s="27" t="s">
        <v>102</v>
      </c>
      <c r="E12" s="93"/>
      <c r="F12" s="51" t="s">
        <v>139</v>
      </c>
      <c r="G12" s="46">
        <v>20</v>
      </c>
      <c r="H12" s="46">
        <v>20</v>
      </c>
      <c r="I12" s="46">
        <v>20</v>
      </c>
      <c r="J12" s="46">
        <v>60</v>
      </c>
      <c r="K12" s="46" t="s">
        <v>140</v>
      </c>
      <c r="L12" s="46">
        <v>0.32</v>
      </c>
      <c r="M12" s="46">
        <v>19.2</v>
      </c>
    </row>
    <row r="13" spans="1:16" ht="20.100000000000001" customHeight="1">
      <c r="A13" s="27" t="s">
        <v>92</v>
      </c>
      <c r="B13" s="27" t="s">
        <v>98</v>
      </c>
      <c r="C13" s="27" t="s">
        <v>101</v>
      </c>
      <c r="D13" s="27" t="s">
        <v>103</v>
      </c>
      <c r="E13" s="93"/>
      <c r="F13" s="51" t="s">
        <v>141</v>
      </c>
      <c r="G13" s="46">
        <v>4</v>
      </c>
      <c r="H13" s="46">
        <v>4</v>
      </c>
      <c r="I13" s="46">
        <v>4</v>
      </c>
      <c r="J13" s="46">
        <v>12</v>
      </c>
      <c r="K13" s="46" t="s">
        <v>140</v>
      </c>
      <c r="L13" s="46">
        <v>6</v>
      </c>
      <c r="M13" s="46">
        <v>72</v>
      </c>
    </row>
    <row r="14" spans="1:16" ht="20.100000000000001" customHeight="1">
      <c r="A14" s="27" t="s">
        <v>93</v>
      </c>
      <c r="B14" s="27" t="s">
        <v>99</v>
      </c>
      <c r="C14" s="27" t="s">
        <v>99</v>
      </c>
      <c r="D14" s="27" t="s">
        <v>104</v>
      </c>
      <c r="E14" s="93"/>
      <c r="F14" s="51" t="s">
        <v>142</v>
      </c>
      <c r="G14" s="46">
        <v>1</v>
      </c>
      <c r="H14" s="46"/>
      <c r="I14" s="46"/>
      <c r="J14" s="46">
        <v>1</v>
      </c>
      <c r="K14" s="57" t="s">
        <v>143</v>
      </c>
      <c r="L14" s="57">
        <v>30</v>
      </c>
      <c r="M14" s="46">
        <v>30</v>
      </c>
    </row>
    <row r="15" spans="1:16" ht="20.100000000000001" customHeight="1" thickBot="1">
      <c r="A15" s="28" t="s">
        <v>94</v>
      </c>
      <c r="B15" s="28" t="s">
        <v>105</v>
      </c>
      <c r="C15" s="28"/>
      <c r="D15" s="28"/>
      <c r="E15" s="93"/>
      <c r="F15" s="51" t="s">
        <v>144</v>
      </c>
      <c r="G15" s="46">
        <v>1</v>
      </c>
      <c r="H15" s="46"/>
      <c r="I15" s="46">
        <v>1</v>
      </c>
      <c r="J15" s="46">
        <v>2</v>
      </c>
      <c r="K15" s="46" t="s">
        <v>145</v>
      </c>
      <c r="L15" s="46">
        <v>135</v>
      </c>
      <c r="M15" s="46">
        <v>270</v>
      </c>
    </row>
    <row r="16" spans="1:16" ht="20.100000000000001" customHeight="1">
      <c r="E16" s="93"/>
      <c r="F16" s="51" t="s">
        <v>146</v>
      </c>
      <c r="G16" s="46">
        <v>15</v>
      </c>
      <c r="H16" s="46">
        <v>15</v>
      </c>
      <c r="I16" s="46">
        <v>15</v>
      </c>
      <c r="J16" s="46">
        <v>45</v>
      </c>
      <c r="K16" s="46" t="s">
        <v>147</v>
      </c>
      <c r="L16" s="46">
        <v>1.25</v>
      </c>
      <c r="M16" s="46">
        <v>56.25</v>
      </c>
    </row>
    <row r="17" spans="1:14" ht="20.100000000000001" customHeight="1" thickBot="1">
      <c r="B17" s="90" t="s">
        <v>116</v>
      </c>
      <c r="C17" s="90"/>
      <c r="E17" s="93"/>
      <c r="F17" s="51" t="s">
        <v>148</v>
      </c>
      <c r="G17" s="46">
        <v>5</v>
      </c>
      <c r="H17" s="46">
        <v>5</v>
      </c>
      <c r="I17" s="46">
        <v>5</v>
      </c>
      <c r="J17" s="46">
        <v>15</v>
      </c>
      <c r="K17" s="46" t="s">
        <v>134</v>
      </c>
      <c r="L17" s="46">
        <v>15.5</v>
      </c>
      <c r="M17" s="46">
        <v>232.5</v>
      </c>
    </row>
    <row r="18" spans="1:14" ht="20.100000000000001" customHeight="1" thickBot="1">
      <c r="A18" s="31"/>
      <c r="B18" s="35" t="s">
        <v>106</v>
      </c>
      <c r="C18" s="36" t="s">
        <v>107</v>
      </c>
      <c r="D18" s="37" t="s">
        <v>108</v>
      </c>
      <c r="E18" s="93"/>
      <c r="F18" s="51" t="s">
        <v>149</v>
      </c>
      <c r="G18" s="46">
        <v>12</v>
      </c>
      <c r="H18" s="46"/>
      <c r="I18" s="46">
        <v>12</v>
      </c>
      <c r="J18" s="46">
        <v>24</v>
      </c>
      <c r="K18" s="46" t="s">
        <v>150</v>
      </c>
      <c r="L18" s="46">
        <v>2</v>
      </c>
      <c r="M18" s="46">
        <v>48</v>
      </c>
    </row>
    <row r="19" spans="1:14" ht="23.25" customHeight="1">
      <c r="A19" s="38" t="s">
        <v>109</v>
      </c>
      <c r="B19" s="39" t="s">
        <v>114</v>
      </c>
      <c r="C19" s="39" t="s">
        <v>114</v>
      </c>
      <c r="D19" s="40" t="s">
        <v>119</v>
      </c>
      <c r="E19" s="93"/>
      <c r="F19" s="51" t="s">
        <v>151</v>
      </c>
      <c r="G19" s="46">
        <v>4</v>
      </c>
      <c r="H19" s="46">
        <v>4</v>
      </c>
      <c r="I19" s="46">
        <v>4</v>
      </c>
      <c r="J19" s="46">
        <v>12</v>
      </c>
      <c r="K19" s="46" t="s">
        <v>134</v>
      </c>
      <c r="L19" s="46">
        <v>2.7</v>
      </c>
      <c r="M19" s="46">
        <v>32.4</v>
      </c>
    </row>
    <row r="20" spans="1:14" ht="20.100000000000001" customHeight="1">
      <c r="A20" s="41" t="s">
        <v>110</v>
      </c>
      <c r="B20" s="42" t="s">
        <v>115</v>
      </c>
      <c r="C20" s="42" t="s">
        <v>117</v>
      </c>
      <c r="D20" s="43" t="s">
        <v>118</v>
      </c>
      <c r="E20" s="93"/>
      <c r="F20" s="51" t="s">
        <v>152</v>
      </c>
      <c r="G20" s="46">
        <v>1</v>
      </c>
      <c r="H20" s="46"/>
      <c r="I20" s="46">
        <v>1</v>
      </c>
      <c r="J20" s="46">
        <v>2</v>
      </c>
      <c r="K20" s="46" t="s">
        <v>134</v>
      </c>
      <c r="L20" s="46">
        <v>4.75</v>
      </c>
      <c r="M20" s="46">
        <v>9.5</v>
      </c>
    </row>
    <row r="21" spans="1:14" ht="20.100000000000001" customHeight="1">
      <c r="A21" s="41" t="s">
        <v>111</v>
      </c>
      <c r="B21" s="42" t="s">
        <v>114</v>
      </c>
      <c r="C21" s="42" t="s">
        <v>118</v>
      </c>
      <c r="D21" s="43"/>
      <c r="E21" s="93"/>
      <c r="F21" s="51" t="s">
        <v>153</v>
      </c>
      <c r="G21" s="46">
        <v>2</v>
      </c>
      <c r="H21" s="46">
        <v>2</v>
      </c>
      <c r="I21" s="46">
        <v>2</v>
      </c>
      <c r="J21" s="46">
        <v>6</v>
      </c>
      <c r="K21" s="46" t="s">
        <v>134</v>
      </c>
      <c r="L21" s="46">
        <v>4.5</v>
      </c>
      <c r="M21" s="46">
        <v>27</v>
      </c>
    </row>
    <row r="22" spans="1:14" ht="21" customHeight="1" thickBot="1">
      <c r="A22" s="62" t="s">
        <v>112</v>
      </c>
      <c r="B22" s="44"/>
      <c r="C22" s="44"/>
      <c r="D22" s="45" t="s">
        <v>120</v>
      </c>
      <c r="E22" s="93"/>
      <c r="F22" s="59" t="s">
        <v>154</v>
      </c>
      <c r="G22" s="60">
        <v>40</v>
      </c>
      <c r="H22" s="60">
        <v>40</v>
      </c>
      <c r="I22" s="60">
        <v>50</v>
      </c>
      <c r="J22" s="60">
        <v>130</v>
      </c>
      <c r="K22" s="60" t="s">
        <v>134</v>
      </c>
      <c r="L22" s="60">
        <v>5.7</v>
      </c>
      <c r="M22" s="60">
        <v>741</v>
      </c>
    </row>
    <row r="23" spans="1:14" ht="20.100000000000001" customHeight="1">
      <c r="B23" s="29" t="s">
        <v>113</v>
      </c>
      <c r="C23" s="34" t="s">
        <v>122</v>
      </c>
      <c r="D23" s="34" t="s">
        <v>121</v>
      </c>
      <c r="E23" s="93"/>
      <c r="F23" s="51" t="s">
        <v>130</v>
      </c>
      <c r="G23" s="46">
        <v>5</v>
      </c>
      <c r="H23" s="46"/>
      <c r="I23" s="46">
        <v>5</v>
      </c>
      <c r="J23" s="46">
        <v>10</v>
      </c>
      <c r="K23" s="46" t="s">
        <v>134</v>
      </c>
      <c r="L23" s="46">
        <v>3.34</v>
      </c>
      <c r="M23" s="46">
        <v>33.4</v>
      </c>
    </row>
    <row r="24" spans="1:14" ht="20.100000000000001" customHeight="1">
      <c r="E24" s="93"/>
      <c r="F24" s="59" t="s">
        <v>155</v>
      </c>
      <c r="G24" s="60">
        <v>8</v>
      </c>
      <c r="H24" s="60">
        <v>30</v>
      </c>
      <c r="I24" s="60">
        <v>20</v>
      </c>
      <c r="J24" s="60">
        <v>58</v>
      </c>
      <c r="K24" s="60" t="s">
        <v>134</v>
      </c>
      <c r="L24" s="60">
        <v>14.67</v>
      </c>
      <c r="M24" s="60">
        <v>850.86</v>
      </c>
    </row>
    <row r="25" spans="1:14" ht="20.100000000000001" customHeight="1">
      <c r="F25" s="51" t="s">
        <v>185</v>
      </c>
      <c r="G25" s="46">
        <v>12</v>
      </c>
      <c r="H25" s="46"/>
      <c r="I25" s="46"/>
      <c r="J25" s="46"/>
      <c r="K25" s="46" t="s">
        <v>134</v>
      </c>
      <c r="L25" s="46">
        <v>14</v>
      </c>
      <c r="M25" s="46">
        <v>168</v>
      </c>
    </row>
    <row r="26" spans="1:14" ht="20.100000000000001" customHeight="1" thickBot="1">
      <c r="F26" s="59" t="s">
        <v>157</v>
      </c>
      <c r="G26" s="60">
        <v>40</v>
      </c>
      <c r="H26" s="60">
        <v>20</v>
      </c>
      <c r="I26" s="60"/>
      <c r="J26" s="60">
        <v>60</v>
      </c>
      <c r="K26" s="60" t="s">
        <v>134</v>
      </c>
      <c r="L26" s="60">
        <v>5.9</v>
      </c>
      <c r="M26" s="60">
        <v>354</v>
      </c>
      <c r="N26" s="61"/>
    </row>
    <row r="27" spans="1:14" ht="20.100000000000001" customHeight="1">
      <c r="F27" s="51" t="s">
        <v>156</v>
      </c>
      <c r="G27" s="46">
        <v>20</v>
      </c>
      <c r="H27" s="46">
        <v>10</v>
      </c>
      <c r="I27" s="46">
        <v>20</v>
      </c>
      <c r="J27" s="46">
        <v>50</v>
      </c>
      <c r="K27" s="46" t="s">
        <v>134</v>
      </c>
      <c r="L27" s="46">
        <v>2.2999999999999998</v>
      </c>
      <c r="M27" s="46">
        <v>115</v>
      </c>
    </row>
    <row r="28" spans="1:14" ht="20.100000000000001" customHeight="1">
      <c r="F28" s="51" t="s">
        <v>158</v>
      </c>
      <c r="G28" s="46">
        <v>4</v>
      </c>
      <c r="H28" s="46">
        <v>4</v>
      </c>
      <c r="I28" s="46">
        <v>4</v>
      </c>
      <c r="J28" s="46">
        <v>12</v>
      </c>
      <c r="K28" s="46" t="s">
        <v>159</v>
      </c>
      <c r="L28" s="46">
        <v>8.33</v>
      </c>
      <c r="M28" s="46">
        <v>99.96</v>
      </c>
    </row>
    <row r="29" spans="1:14" ht="20.100000000000001" customHeight="1">
      <c r="F29" s="51" t="s">
        <v>160</v>
      </c>
      <c r="G29" s="46">
        <v>4</v>
      </c>
      <c r="H29" s="46">
        <v>4</v>
      </c>
      <c r="I29" s="46">
        <v>4</v>
      </c>
      <c r="J29" s="46">
        <v>12</v>
      </c>
      <c r="K29" s="57" t="s">
        <v>161</v>
      </c>
      <c r="L29" s="57">
        <v>110</v>
      </c>
      <c r="M29" s="46">
        <v>22</v>
      </c>
    </row>
    <row r="30" spans="1:14" ht="20.100000000000001" customHeight="1">
      <c r="F30" s="51" t="s">
        <v>162</v>
      </c>
      <c r="G30" s="46">
        <v>1</v>
      </c>
      <c r="H30" s="46"/>
      <c r="I30" s="46">
        <v>1</v>
      </c>
      <c r="J30" s="46">
        <v>2</v>
      </c>
      <c r="K30" s="46" t="s">
        <v>134</v>
      </c>
      <c r="L30" s="46">
        <v>5.75</v>
      </c>
      <c r="M30" s="46">
        <v>11.5</v>
      </c>
    </row>
    <row r="31" spans="1:14" ht="20.100000000000001" customHeight="1">
      <c r="F31" s="51" t="s">
        <v>131</v>
      </c>
      <c r="G31" s="46"/>
      <c r="H31" s="46">
        <v>1</v>
      </c>
      <c r="I31" s="46"/>
      <c r="J31" s="46">
        <v>1</v>
      </c>
      <c r="K31" s="46" t="s">
        <v>134</v>
      </c>
      <c r="L31" s="46">
        <v>5.05</v>
      </c>
      <c r="M31" s="46">
        <v>5.05</v>
      </c>
    </row>
    <row r="32" spans="1:14" ht="20.100000000000001" customHeight="1">
      <c r="F32" s="51" t="s">
        <v>163</v>
      </c>
      <c r="G32" s="46">
        <v>10</v>
      </c>
      <c r="H32" s="46">
        <v>10</v>
      </c>
      <c r="I32" s="46">
        <v>10</v>
      </c>
      <c r="J32" s="46">
        <v>20</v>
      </c>
      <c r="K32" s="46" t="s">
        <v>147</v>
      </c>
      <c r="L32" s="46">
        <v>4.37</v>
      </c>
      <c r="M32" s="46">
        <v>87.4</v>
      </c>
    </row>
    <row r="33" spans="6:13" ht="20.100000000000001" customHeight="1">
      <c r="F33" s="51" t="s">
        <v>164</v>
      </c>
      <c r="G33" s="46">
        <v>1</v>
      </c>
      <c r="H33" s="46"/>
      <c r="I33" s="46"/>
      <c r="J33" s="46">
        <v>1</v>
      </c>
      <c r="K33" s="57" t="s">
        <v>165</v>
      </c>
      <c r="L33" s="57">
        <v>79</v>
      </c>
      <c r="M33" s="46">
        <v>79</v>
      </c>
    </row>
    <row r="34" spans="6:13" ht="20.100000000000001" customHeight="1">
      <c r="F34" s="51" t="s">
        <v>166</v>
      </c>
      <c r="G34" s="46">
        <v>1</v>
      </c>
      <c r="H34" s="46"/>
      <c r="I34" s="46">
        <v>1</v>
      </c>
      <c r="J34" s="46">
        <v>6</v>
      </c>
      <c r="K34" s="46" t="s">
        <v>134</v>
      </c>
      <c r="L34" s="46">
        <v>3.25</v>
      </c>
      <c r="M34" s="46">
        <v>19.5</v>
      </c>
    </row>
    <row r="35" spans="6:13" ht="20.100000000000001" customHeight="1">
      <c r="F35" s="51" t="s">
        <v>167</v>
      </c>
      <c r="G35" s="46">
        <v>0.5</v>
      </c>
      <c r="H35" s="46">
        <v>1</v>
      </c>
      <c r="I35" s="46">
        <v>1</v>
      </c>
      <c r="J35" s="46">
        <v>6</v>
      </c>
      <c r="K35" s="46" t="s">
        <v>134</v>
      </c>
      <c r="L35" s="46">
        <v>7.9</v>
      </c>
      <c r="M35" s="46">
        <v>47.4</v>
      </c>
    </row>
    <row r="36" spans="6:13" ht="20.100000000000001" customHeight="1">
      <c r="F36" s="51" t="s">
        <v>168</v>
      </c>
      <c r="G36" s="46">
        <v>10</v>
      </c>
      <c r="H36" s="46"/>
      <c r="I36" s="46">
        <v>10</v>
      </c>
      <c r="J36" s="46">
        <v>1.5</v>
      </c>
      <c r="K36" s="46" t="s">
        <v>134</v>
      </c>
      <c r="L36" s="46">
        <v>3.5</v>
      </c>
      <c r="M36" s="46">
        <v>5.25</v>
      </c>
    </row>
    <row r="37" spans="6:13" ht="20.100000000000001" customHeight="1">
      <c r="F37" s="51" t="s">
        <v>169</v>
      </c>
      <c r="G37" s="46">
        <v>2</v>
      </c>
      <c r="H37" s="46">
        <v>2</v>
      </c>
      <c r="I37" s="46">
        <v>2</v>
      </c>
      <c r="J37" s="46">
        <v>6</v>
      </c>
      <c r="K37" s="46" t="s">
        <v>134</v>
      </c>
      <c r="L37" s="46">
        <v>2.75</v>
      </c>
      <c r="M37" s="46">
        <v>16.5</v>
      </c>
    </row>
    <row r="38" spans="6:13" ht="20.100000000000001" customHeight="1">
      <c r="F38" s="51" t="s">
        <v>170</v>
      </c>
      <c r="G38" s="46">
        <v>5</v>
      </c>
      <c r="H38" s="46"/>
      <c r="I38" s="46">
        <v>5</v>
      </c>
      <c r="J38" s="46">
        <v>10</v>
      </c>
      <c r="K38" s="46" t="s">
        <v>134</v>
      </c>
      <c r="L38" s="46">
        <v>18.5</v>
      </c>
      <c r="M38" s="46">
        <v>19</v>
      </c>
    </row>
    <row r="39" spans="6:13" ht="20.100000000000001" customHeight="1">
      <c r="F39" s="51" t="s">
        <v>171</v>
      </c>
      <c r="G39" s="46">
        <v>1</v>
      </c>
      <c r="H39" s="46"/>
      <c r="I39" s="46"/>
      <c r="J39" s="46">
        <v>1</v>
      </c>
      <c r="K39" s="57" t="s">
        <v>172</v>
      </c>
      <c r="L39" s="57">
        <v>1.9</v>
      </c>
      <c r="M39" s="46">
        <v>30</v>
      </c>
    </row>
    <row r="40" spans="6:13" ht="20.100000000000001" customHeight="1">
      <c r="F40" s="51" t="s">
        <v>175</v>
      </c>
      <c r="G40" s="46">
        <v>200</v>
      </c>
      <c r="H40" s="46">
        <v>200</v>
      </c>
      <c r="I40" s="46">
        <v>100</v>
      </c>
      <c r="J40" s="46">
        <v>0.5</v>
      </c>
      <c r="K40" s="57" t="s">
        <v>134</v>
      </c>
      <c r="L40" s="57">
        <v>5</v>
      </c>
      <c r="M40" s="46"/>
    </row>
    <row r="41" spans="6:13" ht="20.100000000000001" customHeight="1">
      <c r="F41" s="51" t="s">
        <v>176</v>
      </c>
      <c r="G41" s="46">
        <v>2</v>
      </c>
      <c r="H41" s="46">
        <v>2</v>
      </c>
      <c r="I41" s="46">
        <v>2</v>
      </c>
      <c r="J41" s="46">
        <v>4</v>
      </c>
      <c r="K41" s="57" t="s">
        <v>177</v>
      </c>
      <c r="L41" s="57">
        <v>12.94</v>
      </c>
      <c r="M41" s="46">
        <v>50</v>
      </c>
    </row>
    <row r="42" spans="6:13" ht="20.100000000000001" customHeight="1">
      <c r="F42" s="51" t="s">
        <v>178</v>
      </c>
      <c r="G42" s="46">
        <v>1</v>
      </c>
      <c r="H42" s="46"/>
      <c r="I42" s="46"/>
      <c r="J42" s="46">
        <v>1</v>
      </c>
      <c r="K42" s="57" t="s">
        <v>134</v>
      </c>
      <c r="L42" s="57"/>
      <c r="M42" s="46">
        <v>37</v>
      </c>
    </row>
    <row r="43" spans="6:13" ht="20.100000000000001" customHeight="1">
      <c r="F43" s="51" t="s">
        <v>179</v>
      </c>
      <c r="G43" s="46">
        <v>300</v>
      </c>
      <c r="H43" s="46">
        <v>400</v>
      </c>
      <c r="I43" s="46">
        <v>300</v>
      </c>
      <c r="J43" s="46">
        <v>1</v>
      </c>
      <c r="K43" s="57" t="s">
        <v>134</v>
      </c>
      <c r="L43" s="57">
        <v>14</v>
      </c>
      <c r="M43" s="46">
        <v>14</v>
      </c>
    </row>
    <row r="44" spans="6:13" ht="20.100000000000001" customHeight="1">
      <c r="F44" s="51" t="s">
        <v>180</v>
      </c>
      <c r="G44" s="46">
        <v>500</v>
      </c>
      <c r="H44" s="46"/>
      <c r="I44" s="46">
        <v>500</v>
      </c>
      <c r="J44" s="46">
        <v>1</v>
      </c>
      <c r="K44" s="57" t="s">
        <v>134</v>
      </c>
      <c r="L44" s="57">
        <v>12</v>
      </c>
      <c r="M44" s="46">
        <v>12</v>
      </c>
    </row>
    <row r="45" spans="6:13" ht="20.100000000000001" customHeight="1">
      <c r="F45" s="51" t="s">
        <v>181</v>
      </c>
      <c r="G45" s="46">
        <v>500</v>
      </c>
      <c r="H45" s="46">
        <v>500</v>
      </c>
      <c r="I45" s="46"/>
      <c r="J45" s="46">
        <v>1</v>
      </c>
      <c r="K45" s="57" t="s">
        <v>134</v>
      </c>
      <c r="L45" s="57">
        <v>6.37</v>
      </c>
      <c r="M45" s="46">
        <v>6.37</v>
      </c>
    </row>
    <row r="46" spans="6:13" ht="20.100000000000001" customHeight="1">
      <c r="F46" s="51" t="s">
        <v>182</v>
      </c>
      <c r="G46" s="46">
        <v>500</v>
      </c>
      <c r="H46" s="46"/>
      <c r="I46" s="46">
        <v>500</v>
      </c>
      <c r="J46" s="46">
        <v>1</v>
      </c>
      <c r="K46" s="57" t="s">
        <v>134</v>
      </c>
      <c r="L46" s="57">
        <v>6.04</v>
      </c>
      <c r="M46" s="46">
        <v>6.04</v>
      </c>
    </row>
    <row r="47" spans="6:13" ht="20.100000000000001" customHeight="1">
      <c r="F47" s="51" t="s">
        <v>186</v>
      </c>
      <c r="G47" s="46">
        <v>3</v>
      </c>
      <c r="H47" s="46">
        <v>3</v>
      </c>
      <c r="I47" s="46">
        <v>3</v>
      </c>
      <c r="J47" s="46"/>
      <c r="K47" s="57" t="s">
        <v>134</v>
      </c>
      <c r="L47" s="57"/>
      <c r="M47" s="46"/>
    </row>
    <row r="48" spans="6:13" ht="20.100000000000001" customHeight="1">
      <c r="F48" s="51" t="s">
        <v>187</v>
      </c>
      <c r="G48" s="46">
        <v>3</v>
      </c>
      <c r="H48" s="46"/>
      <c r="I48" s="46"/>
      <c r="J48" s="46"/>
      <c r="K48" s="57" t="s">
        <v>191</v>
      </c>
      <c r="L48" s="57"/>
      <c r="M48" s="46"/>
    </row>
    <row r="49" spans="6:13" ht="20.100000000000001" customHeight="1">
      <c r="F49" s="51" t="s">
        <v>188</v>
      </c>
      <c r="G49" s="46">
        <v>1.5</v>
      </c>
      <c r="H49" s="46"/>
      <c r="I49" s="46">
        <v>1.5</v>
      </c>
      <c r="J49" s="46">
        <v>3</v>
      </c>
      <c r="K49" s="57" t="s">
        <v>134</v>
      </c>
      <c r="L49" s="57"/>
      <c r="M49" s="46"/>
    </row>
    <row r="50" spans="6:13" ht="20.100000000000001" customHeight="1">
      <c r="F50" s="51" t="s">
        <v>189</v>
      </c>
      <c r="G50" s="46">
        <v>4</v>
      </c>
      <c r="H50" s="46">
        <v>4</v>
      </c>
      <c r="I50" s="46">
        <v>4</v>
      </c>
      <c r="J50" s="46">
        <v>12</v>
      </c>
      <c r="K50" s="57"/>
      <c r="L50" s="57"/>
      <c r="M50" s="46"/>
    </row>
    <row r="51" spans="6:13" ht="20.100000000000001" customHeight="1">
      <c r="F51" s="51" t="s">
        <v>190</v>
      </c>
      <c r="G51" s="46">
        <v>0.02</v>
      </c>
      <c r="H51" s="46"/>
      <c r="I51" s="46"/>
      <c r="J51" s="46">
        <v>0.2</v>
      </c>
      <c r="K51" s="57"/>
      <c r="L51" s="57"/>
      <c r="M51" s="46"/>
    </row>
    <row r="52" spans="6:13" ht="20.100000000000001" customHeight="1">
      <c r="F52" s="51" t="s">
        <v>192</v>
      </c>
      <c r="G52" s="46"/>
      <c r="H52" s="46">
        <v>1</v>
      </c>
      <c r="I52" s="46"/>
      <c r="J52" s="46">
        <v>1</v>
      </c>
      <c r="K52" s="57"/>
      <c r="L52" s="57"/>
      <c r="M52" s="46"/>
    </row>
    <row r="53" spans="6:13" ht="20.100000000000001" customHeight="1" thickBot="1">
      <c r="F53" s="51" t="s">
        <v>183</v>
      </c>
      <c r="G53" s="46"/>
      <c r="H53" s="46">
        <v>500</v>
      </c>
      <c r="I53" s="46">
        <v>500</v>
      </c>
      <c r="J53" s="46">
        <v>1</v>
      </c>
      <c r="K53" s="57" t="s">
        <v>184</v>
      </c>
      <c r="L53" s="57">
        <v>120</v>
      </c>
      <c r="M53" s="46">
        <v>12</v>
      </c>
    </row>
    <row r="54" spans="6:13" ht="20.100000000000001" customHeight="1" thickBot="1">
      <c r="F54" s="56" t="s">
        <v>127</v>
      </c>
      <c r="G54" s="54"/>
      <c r="H54" s="54"/>
      <c r="I54" s="54"/>
      <c r="J54" s="55"/>
      <c r="K54" s="54"/>
      <c r="L54" s="54"/>
      <c r="M54" s="54">
        <f>SUM(M5:M53)</f>
        <v>4054.3800000000006</v>
      </c>
    </row>
    <row r="55" spans="6:13">
      <c r="M55" s="58">
        <v>7200</v>
      </c>
    </row>
    <row r="56" spans="6:13">
      <c r="M56">
        <f>M55-M54</f>
        <v>3145.6199999999994</v>
      </c>
    </row>
  </sheetData>
  <mergeCells count="4">
    <mergeCell ref="G3:I3"/>
    <mergeCell ref="B17:C17"/>
    <mergeCell ref="F2:M2"/>
    <mergeCell ref="E1:E24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1</vt:i4>
      </vt:variant>
    </vt:vector>
  </HeadingPairs>
  <TitlesOfParts>
    <vt:vector size="5" baseType="lpstr">
      <vt:lpstr>Breakfast menu </vt:lpstr>
      <vt:lpstr>lunch </vt:lpstr>
      <vt:lpstr>dinner </vt:lpstr>
      <vt:lpstr>DETAILS</vt:lpstr>
      <vt:lpstr>DETAILS!Print_Area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2021-03-08T08:49:12Z</dcterms:modified>
</cp:coreProperties>
</file>